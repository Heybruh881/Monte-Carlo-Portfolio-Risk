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\Downloads\"/>
    </mc:Choice>
  </mc:AlternateContent>
  <xr:revisionPtr revIDLastSave="0" documentId="8_{1F0AB438-4606-4E28-9067-A311420C8C6E}" xr6:coauthVersionLast="47" xr6:coauthVersionMax="47" xr10:uidLastSave="{00000000-0000-0000-0000-000000000000}"/>
  <bookViews>
    <workbookView xWindow="-108" yWindow="-108" windowWidth="23256" windowHeight="12456" activeTab="1" xr2:uid="{601AA183-F476-46F6-A6C0-24C4756CDA9F}"/>
  </bookViews>
  <sheets>
    <sheet name="Prices" sheetId="1" r:id="rId1"/>
    <sheet name="Returns" sheetId="2" r:id="rId2"/>
    <sheet name="Correlation Matr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3" l="1"/>
  <c r="D3" i="3"/>
  <c r="B4" i="3"/>
  <c r="D2" i="3"/>
  <c r="B3" i="3"/>
  <c r="C2" i="3"/>
  <c r="I5" i="2"/>
  <c r="I4" i="2"/>
  <c r="I3" i="2"/>
  <c r="I2" i="2"/>
  <c r="H5" i="2"/>
  <c r="H4" i="2"/>
  <c r="H3" i="2"/>
  <c r="H2" i="2"/>
  <c r="G5" i="2"/>
  <c r="G3" i="2"/>
  <c r="G4" i="2"/>
  <c r="G2" i="2"/>
  <c r="D25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" i="2"/>
  <c r="C25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" i="2"/>
  <c r="B25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2" i="2"/>
</calcChain>
</file>

<file path=xl/sharedStrings.xml><?xml version="1.0" encoding="utf-8"?>
<sst xmlns="http://schemas.openxmlformats.org/spreadsheetml/2006/main" count="22" uniqueCount="15">
  <si>
    <t>TCS</t>
  </si>
  <si>
    <t>Date</t>
  </si>
  <si>
    <t>ITC_price</t>
  </si>
  <si>
    <t>TCS_price</t>
  </si>
  <si>
    <t>EternalLTD_price</t>
  </si>
  <si>
    <t>TCS_log_return</t>
  </si>
  <si>
    <t>Eternal_log_return</t>
  </si>
  <si>
    <t>ITC_log_return</t>
  </si>
  <si>
    <t>MEAN</t>
  </si>
  <si>
    <t>ETERNAL</t>
  </si>
  <si>
    <t>ITC</t>
  </si>
  <si>
    <t>VOLATILITY</t>
  </si>
  <si>
    <t>SKEWNESS</t>
  </si>
  <si>
    <t>KURTOSIS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</si>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</sst>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applyBorder="1"/>
    <xf numFmtId="10" fontId="0" fillId="0" borderId="0" xfId="0" applyNumberFormat="1" applyBorder="1"/>
    <xf numFmtId="0" fontId="0" fillId="0" borderId="0" xfId="0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016-627D-4058-A06B-3F30657B7339}">
  <dimension ref="A1:H253"/>
  <sheetViews>
    <sheetView zoomScale="154" workbookViewId="0">
      <selection activeCell="E6" sqref="E6"/>
    </sheetView>
  </sheetViews>
  <sheetFormatPr defaultRowHeight="14.4" x14ac:dyDescent="0.3"/>
  <cols>
    <col min="1" max="1" width="16" customWidth="1"/>
    <col min="2" max="2" width="10.44140625" customWidth="1"/>
    <col min="3" max="3" width="15.77734375" customWidth="1"/>
    <col min="4" max="4" width="13.33203125" customWidth="1"/>
    <col min="5" max="5" width="11.33203125" customWidth="1"/>
    <col min="8" max="8" width="15.33203125" customWidth="1"/>
  </cols>
  <sheetData>
    <row r="1" spans="1:8" x14ac:dyDescent="0.3">
      <c r="A1" t="s">
        <v>1</v>
      </c>
      <c r="B1" t="s">
        <v>3</v>
      </c>
      <c r="C1" s="2" t="s">
        <v>4</v>
      </c>
      <c r="D1" s="4" t="s">
        <v>2</v>
      </c>
      <c r="E1" s="2"/>
      <c r="F1" s="2"/>
      <c r="G1" s="2"/>
      <c r="H1" s="2"/>
    </row>
    <row r="2" spans="1:8" x14ac:dyDescent="0.3">
      <c r="A2" s="5">
        <v>45693</v>
      </c>
      <c r="B2">
        <v>4029.9971988927218</v>
      </c>
      <c r="C2">
        <v>235.99891379732779</v>
      </c>
      <c r="D2">
        <v>432.35752908208389</v>
      </c>
      <c r="E2" s="2"/>
      <c r="F2" s="3"/>
      <c r="G2" s="2"/>
      <c r="H2" s="2"/>
    </row>
    <row r="3" spans="1:8" x14ac:dyDescent="0.3">
      <c r="A3" s="5">
        <v>45694</v>
      </c>
      <c r="B3">
        <v>4017.838122045298</v>
      </c>
      <c r="C3">
        <v>235.74930244635891</v>
      </c>
      <c r="D3">
        <v>430.99350176005868</v>
      </c>
    </row>
    <row r="4" spans="1:8" x14ac:dyDescent="0.3">
      <c r="A4" s="5">
        <v>45695</v>
      </c>
      <c r="B4">
        <v>4049.5856061326672</v>
      </c>
      <c r="C4">
        <v>238.07910808205969</v>
      </c>
      <c r="D4">
        <v>434.33904929616341</v>
      </c>
    </row>
    <row r="5" spans="1:8" x14ac:dyDescent="0.3">
      <c r="A5" s="5">
        <v>45698</v>
      </c>
      <c r="B5">
        <v>4131.3995589794886</v>
      </c>
      <c r="C5">
        <v>243.36640287074519</v>
      </c>
      <c r="D5">
        <v>443.05281089956571</v>
      </c>
    </row>
    <row r="6" spans="1:8" x14ac:dyDescent="0.3">
      <c r="A6" s="5">
        <v>45699</v>
      </c>
      <c r="B6">
        <v>4113.464529658906</v>
      </c>
      <c r="C6">
        <v>242.78614666243061</v>
      </c>
      <c r="D6">
        <v>441.06851692013191</v>
      </c>
    </row>
    <row r="7" spans="1:8" x14ac:dyDescent="0.3">
      <c r="A7" s="5">
        <v>45700</v>
      </c>
      <c r="B7">
        <v>4095.6082908781682</v>
      </c>
      <c r="C7">
        <v>242.20732906267131</v>
      </c>
      <c r="D7">
        <v>439.09320987479532</v>
      </c>
    </row>
    <row r="8" spans="1:8" x14ac:dyDescent="0.3">
      <c r="A8" s="5">
        <v>45701</v>
      </c>
      <c r="B8">
        <v>4181.6066683498466</v>
      </c>
      <c r="C8">
        <v>247.77915533933171</v>
      </c>
      <c r="D8">
        <v>448.25123272281883</v>
      </c>
    </row>
    <row r="9" spans="1:8" x14ac:dyDescent="0.3">
      <c r="A9" s="5">
        <v>45702</v>
      </c>
      <c r="B9">
        <v>4221.6483174811283</v>
      </c>
      <c r="C9">
        <v>250.6434510978095</v>
      </c>
      <c r="D9">
        <v>452.48102320700252</v>
      </c>
    </row>
    <row r="10" spans="1:8" x14ac:dyDescent="0.3">
      <c r="A10" s="5">
        <v>45705</v>
      </c>
      <c r="B10">
        <v>4189.6357815749971</v>
      </c>
      <c r="C10">
        <v>249.23171237719549</v>
      </c>
      <c r="D10">
        <v>448.98785463472291</v>
      </c>
    </row>
    <row r="11" spans="1:8" x14ac:dyDescent="0.3">
      <c r="A11" s="5">
        <v>45706</v>
      </c>
      <c r="B11">
        <v>4216.5929306510097</v>
      </c>
      <c r="C11">
        <v>251.32832052069219</v>
      </c>
      <c r="D11">
        <v>451.81433374497379</v>
      </c>
    </row>
    <row r="12" spans="1:8" x14ac:dyDescent="0.3">
      <c r="A12" s="5">
        <v>45707</v>
      </c>
      <c r="B12">
        <v>4184.9699922294867</v>
      </c>
      <c r="C12">
        <v>249.9337023256912</v>
      </c>
      <c r="D12">
        <v>448.36394517573632</v>
      </c>
    </row>
    <row r="13" spans="1:8" x14ac:dyDescent="0.3">
      <c r="A13" s="5">
        <v>45708</v>
      </c>
      <c r="B13">
        <v>4153.451126895081</v>
      </c>
      <c r="C13">
        <v>248.53885900525859</v>
      </c>
      <c r="D13">
        <v>444.92564972376567</v>
      </c>
    </row>
    <row r="14" spans="1:8" x14ac:dyDescent="0.3">
      <c r="A14" s="5">
        <v>45709</v>
      </c>
      <c r="B14">
        <v>4162.7975115062491</v>
      </c>
      <c r="C14">
        <v>249.58771405541941</v>
      </c>
      <c r="D14">
        <v>445.86525485719687</v>
      </c>
    </row>
    <row r="15" spans="1:8" x14ac:dyDescent="0.3">
      <c r="A15" s="5">
        <v>45712</v>
      </c>
      <c r="B15">
        <v>4049.3898471412749</v>
      </c>
      <c r="C15">
        <v>243.2653357223511</v>
      </c>
      <c r="D15">
        <v>433.65857535642169</v>
      </c>
    </row>
    <row r="16" spans="1:8" x14ac:dyDescent="0.3">
      <c r="A16" s="5">
        <v>45713</v>
      </c>
      <c r="B16">
        <v>3949.3679764816088</v>
      </c>
      <c r="C16">
        <v>237.72286758260881</v>
      </c>
      <c r="D16">
        <v>422.88857741385613</v>
      </c>
    </row>
    <row r="17" spans="1:4" x14ac:dyDescent="0.3">
      <c r="A17" s="5">
        <v>45714</v>
      </c>
      <c r="B17">
        <v>3914.381939290658</v>
      </c>
      <c r="C17">
        <v>236.08004562063201</v>
      </c>
      <c r="D17">
        <v>419.08446121407161</v>
      </c>
    </row>
    <row r="18" spans="1:4" x14ac:dyDescent="0.3">
      <c r="A18" s="5">
        <v>45715</v>
      </c>
      <c r="B18">
        <v>3855.5566238979482</v>
      </c>
      <c r="C18">
        <v>232.98925280489689</v>
      </c>
      <c r="D18">
        <v>412.72944197982548</v>
      </c>
    </row>
    <row r="19" spans="1:4" x14ac:dyDescent="0.3">
      <c r="A19" s="5">
        <v>45716</v>
      </c>
      <c r="B19">
        <v>3868.105703784503</v>
      </c>
      <c r="C19">
        <v>234.2069928461151</v>
      </c>
      <c r="D19">
        <v>414.01559789432753</v>
      </c>
    </row>
    <row r="20" spans="1:4" x14ac:dyDescent="0.3">
      <c r="A20" s="5">
        <v>45719</v>
      </c>
      <c r="B20">
        <v>3815.5137968239601</v>
      </c>
      <c r="C20">
        <v>231.47669562056751</v>
      </c>
      <c r="D20">
        <v>408.33010768774972</v>
      </c>
    </row>
    <row r="21" spans="1:4" x14ac:dyDescent="0.3">
      <c r="A21" s="5">
        <v>45720</v>
      </c>
      <c r="B21">
        <v>3737.4258676542472</v>
      </c>
      <c r="C21">
        <v>227.18494815171141</v>
      </c>
      <c r="D21">
        <v>399.91801419166291</v>
      </c>
    </row>
    <row r="22" spans="1:4" x14ac:dyDescent="0.3">
      <c r="A22" s="5">
        <v>45721</v>
      </c>
      <c r="B22">
        <v>3809.902301190054</v>
      </c>
      <c r="C22">
        <v>232.0457014561934</v>
      </c>
      <c r="D22">
        <v>407.61693993285871</v>
      </c>
    </row>
    <row r="23" spans="1:4" x14ac:dyDescent="0.3">
      <c r="A23" s="5">
        <v>45722</v>
      </c>
      <c r="B23">
        <v>3793.8033573227208</v>
      </c>
      <c r="C23">
        <v>231.51931384146809</v>
      </c>
      <c r="D23">
        <v>405.83846527558393</v>
      </c>
    </row>
    <row r="24" spans="1:4" x14ac:dyDescent="0.3">
      <c r="A24" s="5">
        <v>45723</v>
      </c>
      <c r="B24">
        <v>3793.1596511178818</v>
      </c>
      <c r="C24">
        <v>231.93498037880829</v>
      </c>
      <c r="D24">
        <v>405.71355498151388</v>
      </c>
    </row>
    <row r="25" spans="1:4" x14ac:dyDescent="0.3">
      <c r="A25" s="5">
        <v>45726</v>
      </c>
      <c r="B25">
        <v>3714.8884786142221</v>
      </c>
      <c r="C25">
        <v>227.59548048340429</v>
      </c>
      <c r="D25">
        <v>397.28684190652308</v>
      </c>
    </row>
    <row r="26" spans="1:4" x14ac:dyDescent="0.3">
      <c r="A26" s="5">
        <v>45727</v>
      </c>
      <c r="B26">
        <v>3682.8933610910872</v>
      </c>
      <c r="C26">
        <v>226.07873705350431</v>
      </c>
      <c r="D26">
        <v>393.81073444796999</v>
      </c>
    </row>
    <row r="27" spans="1:4" x14ac:dyDescent="0.3">
      <c r="A27" s="5">
        <v>45728</v>
      </c>
      <c r="B27">
        <v>3684.483617482344</v>
      </c>
      <c r="C27">
        <v>226.62088213530529</v>
      </c>
      <c r="D27">
        <v>393.92635810105628</v>
      </c>
    </row>
    <row r="28" spans="1:4" x14ac:dyDescent="0.3">
      <c r="A28" s="5">
        <v>45729</v>
      </c>
      <c r="B28">
        <v>3622.171010913788</v>
      </c>
      <c r="C28">
        <v>223.22609799367049</v>
      </c>
      <c r="D28">
        <v>387.21071506140788</v>
      </c>
    </row>
    <row r="29" spans="1:4" x14ac:dyDescent="0.3">
      <c r="A29" s="5">
        <v>45730</v>
      </c>
      <c r="B29">
        <v>3637.0565614905408</v>
      </c>
      <c r="C29">
        <v>224.5839902453877</v>
      </c>
      <c r="D29">
        <v>388.7482763814171</v>
      </c>
    </row>
    <row r="30" spans="1:4" x14ac:dyDescent="0.3">
      <c r="A30" s="5">
        <v>45733</v>
      </c>
      <c r="B30">
        <v>3602.9217277939001</v>
      </c>
      <c r="C30">
        <v>222.91345724687099</v>
      </c>
      <c r="D30">
        <v>385.04656549646228</v>
      </c>
    </row>
    <row r="31" spans="1:4" x14ac:dyDescent="0.3">
      <c r="A31" s="5">
        <v>45734</v>
      </c>
      <c r="B31">
        <v>3584.421418749544</v>
      </c>
      <c r="C31">
        <v>222.2047024064444</v>
      </c>
      <c r="D31">
        <v>383.01651077091577</v>
      </c>
    </row>
    <row r="32" spans="1:4" x14ac:dyDescent="0.3">
      <c r="A32" s="5">
        <v>45735</v>
      </c>
      <c r="B32">
        <v>3550.7280299702338</v>
      </c>
      <c r="C32">
        <v>220.54860322343521</v>
      </c>
      <c r="D32">
        <v>379.3637638624831</v>
      </c>
    </row>
    <row r="33" spans="1:4" x14ac:dyDescent="0.3">
      <c r="A33" s="5">
        <v>45736</v>
      </c>
      <c r="B33">
        <v>3639.0304405440911</v>
      </c>
      <c r="C33">
        <v>226.47763071728571</v>
      </c>
      <c r="D33">
        <v>388.74438630978852</v>
      </c>
    </row>
    <row r="34" spans="1:4" x14ac:dyDescent="0.3">
      <c r="A34" s="5">
        <v>45737</v>
      </c>
      <c r="B34">
        <v>3634.3296890779611</v>
      </c>
      <c r="C34">
        <v>226.6296185896137</v>
      </c>
      <c r="D34">
        <v>388.18859280767481</v>
      </c>
    </row>
    <row r="35" spans="1:4" x14ac:dyDescent="0.3">
      <c r="A35" s="5">
        <v>45740</v>
      </c>
      <c r="B35">
        <v>3577.4871955557642</v>
      </c>
      <c r="C35">
        <v>223.52348266436081</v>
      </c>
      <c r="D35">
        <v>382.06437151222372</v>
      </c>
    </row>
    <row r="36" spans="1:4" x14ac:dyDescent="0.3">
      <c r="A36" s="5">
        <v>45741</v>
      </c>
      <c r="B36">
        <v>3614.5035436960152</v>
      </c>
      <c r="C36">
        <v>226.2801425968137</v>
      </c>
      <c r="D36">
        <v>385.96427895083872</v>
      </c>
    </row>
    <row r="37" spans="1:4" x14ac:dyDescent="0.3">
      <c r="A37" s="5">
        <v>45742</v>
      </c>
      <c r="B37">
        <v>3549.9363395952842</v>
      </c>
      <c r="C37">
        <v>222.67480225747329</v>
      </c>
      <c r="D37">
        <v>379.0172950238038</v>
      </c>
    </row>
    <row r="38" spans="1:4" x14ac:dyDescent="0.3">
      <c r="A38" s="5">
        <v>45743</v>
      </c>
      <c r="B38">
        <v>3556.292991314956</v>
      </c>
      <c r="C38">
        <v>223.5119593271715</v>
      </c>
      <c r="D38">
        <v>379.64352908542622</v>
      </c>
    </row>
    <row r="39" spans="1:4" x14ac:dyDescent="0.3">
      <c r="A39" s="5">
        <v>45744</v>
      </c>
      <c r="B39">
        <v>3457.1850626022879</v>
      </c>
      <c r="C39">
        <v>217.7101019097511</v>
      </c>
      <c r="D39">
        <v>369.01251975718321</v>
      </c>
    </row>
    <row r="40" spans="1:4" x14ac:dyDescent="0.3">
      <c r="A40" s="5">
        <v>45747</v>
      </c>
      <c r="B40">
        <v>3390.3807250275722</v>
      </c>
      <c r="C40">
        <v>213.92283478315659</v>
      </c>
      <c r="D40">
        <v>361.83197994245609</v>
      </c>
    </row>
    <row r="41" spans="1:4" x14ac:dyDescent="0.3">
      <c r="A41" s="5">
        <v>45748</v>
      </c>
      <c r="B41">
        <v>3395.8867615537579</v>
      </c>
      <c r="C41">
        <v>214.6913742900864</v>
      </c>
      <c r="D41">
        <v>362.36953894517308</v>
      </c>
    </row>
    <row r="42" spans="1:4" x14ac:dyDescent="0.3">
      <c r="A42" s="5">
        <v>45749</v>
      </c>
      <c r="B42">
        <v>3427.0285291229538</v>
      </c>
      <c r="C42">
        <v>217.086010454031</v>
      </c>
      <c r="D42">
        <v>365.64211172030309</v>
      </c>
    </row>
    <row r="43" spans="1:4" x14ac:dyDescent="0.3">
      <c r="A43" s="5">
        <v>45750</v>
      </c>
      <c r="B43">
        <v>3431.3815639673062</v>
      </c>
      <c r="C43">
        <v>217.78895574544131</v>
      </c>
      <c r="D43">
        <v>366.055981167433</v>
      </c>
    </row>
    <row r="44" spans="1:4" x14ac:dyDescent="0.3">
      <c r="A44" s="5">
        <v>45751</v>
      </c>
      <c r="B44">
        <v>3422.1010120639921</v>
      </c>
      <c r="C44">
        <v>217.62680447181791</v>
      </c>
      <c r="D44">
        <v>365.01551428311211</v>
      </c>
    </row>
    <row r="45" spans="1:4" x14ac:dyDescent="0.3">
      <c r="A45" s="5">
        <v>45754</v>
      </c>
      <c r="B45">
        <v>3404.085228254552</v>
      </c>
      <c r="C45">
        <v>216.906570037987</v>
      </c>
      <c r="D45">
        <v>363.04372043139762</v>
      </c>
    </row>
    <row r="46" spans="1:4" x14ac:dyDescent="0.3">
      <c r="A46" s="5">
        <v>45755</v>
      </c>
      <c r="B46">
        <v>3331.358966839734</v>
      </c>
      <c r="C46">
        <v>212.6896886177704</v>
      </c>
      <c r="D46">
        <v>355.2384295567698</v>
      </c>
    </row>
    <row r="47" spans="1:4" x14ac:dyDescent="0.3">
      <c r="A47" s="5">
        <v>45756</v>
      </c>
      <c r="B47">
        <v>3294.6458313074181</v>
      </c>
      <c r="C47">
        <v>210.7591606346902</v>
      </c>
      <c r="D47">
        <v>351.27500613615371</v>
      </c>
    </row>
    <row r="48" spans="1:4" x14ac:dyDescent="0.3">
      <c r="A48" s="5">
        <v>45757</v>
      </c>
      <c r="B48">
        <v>3270.0631013083948</v>
      </c>
      <c r="C48">
        <v>209.59773220131851</v>
      </c>
      <c r="D48">
        <v>348.6058355978912</v>
      </c>
    </row>
    <row r="49" spans="1:4" x14ac:dyDescent="0.3">
      <c r="A49" s="5">
        <v>45758</v>
      </c>
      <c r="B49">
        <v>3314.656765127469</v>
      </c>
      <c r="C49">
        <v>212.87356395537489</v>
      </c>
      <c r="D49">
        <v>353.31094259834202</v>
      </c>
    </row>
    <row r="50" spans="1:4" x14ac:dyDescent="0.3">
      <c r="A50" s="5">
        <v>45761</v>
      </c>
      <c r="B50">
        <v>3326.7991976041981</v>
      </c>
      <c r="C50">
        <v>214.07328681886679</v>
      </c>
      <c r="D50">
        <v>354.55622770633568</v>
      </c>
    </row>
    <row r="51" spans="1:4" x14ac:dyDescent="0.3">
      <c r="A51" s="5">
        <v>45762</v>
      </c>
      <c r="B51">
        <v>3242.91189594355</v>
      </c>
      <c r="C51">
        <v>209.08542521216569</v>
      </c>
      <c r="D51">
        <v>345.5681317034996</v>
      </c>
    </row>
    <row r="52" spans="1:4" x14ac:dyDescent="0.3">
      <c r="A52" s="5">
        <v>45763</v>
      </c>
      <c r="B52">
        <v>3253.910490030903</v>
      </c>
      <c r="C52">
        <v>210.2068837449965</v>
      </c>
      <c r="D52">
        <v>346.69225706921259</v>
      </c>
    </row>
    <row r="53" spans="1:4" x14ac:dyDescent="0.3">
      <c r="A53" s="5">
        <v>45764</v>
      </c>
      <c r="B53">
        <v>3233.015268923938</v>
      </c>
      <c r="C53">
        <v>209.26751110545891</v>
      </c>
      <c r="D53">
        <v>344.41836537008578</v>
      </c>
    </row>
    <row r="54" spans="1:4" x14ac:dyDescent="0.3">
      <c r="A54" s="5">
        <v>45765</v>
      </c>
      <c r="B54">
        <v>3199.2884446640869</v>
      </c>
      <c r="C54">
        <v>207.4914340461911</v>
      </c>
      <c r="D54">
        <v>340.77831256664672</v>
      </c>
    </row>
    <row r="55" spans="1:4" x14ac:dyDescent="0.3">
      <c r="A55" s="5">
        <v>45768</v>
      </c>
      <c r="B55">
        <v>3222.9591241155381</v>
      </c>
      <c r="C55">
        <v>209.4374270019172</v>
      </c>
      <c r="D55">
        <v>343.25221891262407</v>
      </c>
    </row>
    <row r="56" spans="1:4" x14ac:dyDescent="0.3">
      <c r="A56" s="5">
        <v>45769</v>
      </c>
      <c r="B56">
        <v>3265.7279391242359</v>
      </c>
      <c r="C56">
        <v>212.63376030127461</v>
      </c>
      <c r="D56">
        <v>347.75914767801191</v>
      </c>
    </row>
    <row r="57" spans="1:4" x14ac:dyDescent="0.3">
      <c r="A57" s="5">
        <v>45770</v>
      </c>
      <c r="B57">
        <v>3304.4943926636079</v>
      </c>
      <c r="C57">
        <v>215.5807400484675</v>
      </c>
      <c r="D57">
        <v>351.83868225139759</v>
      </c>
    </row>
    <row r="58" spans="1:4" x14ac:dyDescent="0.3">
      <c r="A58" s="5">
        <v>45771</v>
      </c>
      <c r="B58">
        <v>3262.6752151061082</v>
      </c>
      <c r="C58">
        <v>213.27085226798391</v>
      </c>
      <c r="D58">
        <v>347.33809272937867</v>
      </c>
    </row>
    <row r="59" spans="1:4" x14ac:dyDescent="0.3">
      <c r="A59" s="5">
        <v>45772</v>
      </c>
      <c r="B59">
        <v>3245.1340397539479</v>
      </c>
      <c r="C59">
        <v>212.54114801638889</v>
      </c>
      <c r="D59">
        <v>345.42297199725868</v>
      </c>
    </row>
    <row r="60" spans="1:4" x14ac:dyDescent="0.3">
      <c r="A60" s="5">
        <v>45775</v>
      </c>
      <c r="B60">
        <v>3256.4641659428771</v>
      </c>
      <c r="C60">
        <v>213.70240369746401</v>
      </c>
      <c r="D60">
        <v>346.5811075701622</v>
      </c>
    </row>
    <row r="61" spans="1:4" x14ac:dyDescent="0.3">
      <c r="A61" s="5">
        <v>45776</v>
      </c>
      <c r="B61">
        <v>3297.142681613695</v>
      </c>
      <c r="C61">
        <v>216.79714880361169</v>
      </c>
      <c r="D61">
        <v>350.86199481128108</v>
      </c>
    </row>
    <row r="62" spans="1:4" x14ac:dyDescent="0.3">
      <c r="A62" s="5">
        <v>45777</v>
      </c>
      <c r="B62">
        <v>3271.700787542215</v>
      </c>
      <c r="C62">
        <v>215.54707059946489</v>
      </c>
      <c r="D62">
        <v>348.10653035282888</v>
      </c>
    </row>
    <row r="63" spans="1:4" x14ac:dyDescent="0.3">
      <c r="A63" s="5">
        <v>45778</v>
      </c>
      <c r="B63">
        <v>3259.68784015549</v>
      </c>
      <c r="C63">
        <v>215.17770948492</v>
      </c>
      <c r="D63">
        <v>346.7804530139054</v>
      </c>
    </row>
    <row r="64" spans="1:4" x14ac:dyDescent="0.3">
      <c r="A64" s="5">
        <v>45779</v>
      </c>
      <c r="B64">
        <v>3206.543399201099</v>
      </c>
      <c r="C64">
        <v>212.08556551821269</v>
      </c>
      <c r="D64">
        <v>341.07958402387658</v>
      </c>
    </row>
    <row r="65" spans="1:4" x14ac:dyDescent="0.3">
      <c r="A65" s="5">
        <v>45782</v>
      </c>
      <c r="B65">
        <v>3150.3391959919618</v>
      </c>
      <c r="C65">
        <v>208.7776608242967</v>
      </c>
      <c r="D65">
        <v>335.05486184496402</v>
      </c>
    </row>
    <row r="66" spans="1:4" x14ac:dyDescent="0.3">
      <c r="A66" s="5">
        <v>45783</v>
      </c>
      <c r="B66">
        <v>3182.4939084235389</v>
      </c>
      <c r="C66">
        <v>211.32311960005299</v>
      </c>
      <c r="D66">
        <v>338.42792701551042</v>
      </c>
    </row>
    <row r="67" spans="1:4" x14ac:dyDescent="0.3">
      <c r="A67" s="5">
        <v>45784</v>
      </c>
      <c r="B67">
        <v>3239.293715642084</v>
      </c>
      <c r="C67">
        <v>215.5174709594786</v>
      </c>
      <c r="D67">
        <v>344.42046309606951</v>
      </c>
    </row>
    <row r="68" spans="1:4" x14ac:dyDescent="0.3">
      <c r="A68" s="5">
        <v>45785</v>
      </c>
      <c r="B68">
        <v>3232.48700051279</v>
      </c>
      <c r="C68">
        <v>215.48729131655321</v>
      </c>
      <c r="D68">
        <v>343.64925764440721</v>
      </c>
    </row>
    <row r="69" spans="1:4" x14ac:dyDescent="0.3">
      <c r="A69" s="5">
        <v>45786</v>
      </c>
      <c r="B69">
        <v>3274.135708524338</v>
      </c>
      <c r="C69">
        <v>218.69269315833151</v>
      </c>
      <c r="D69">
        <v>348.02889657322999</v>
      </c>
    </row>
    <row r="70" spans="1:4" x14ac:dyDescent="0.3">
      <c r="A70" s="5">
        <v>45789</v>
      </c>
      <c r="B70">
        <v>3286.950358784984</v>
      </c>
      <c r="C70">
        <v>219.98013444191059</v>
      </c>
      <c r="D70">
        <v>349.34278532354421</v>
      </c>
    </row>
    <row r="71" spans="1:4" x14ac:dyDescent="0.3">
      <c r="A71" s="5">
        <v>45790</v>
      </c>
      <c r="B71">
        <v>3254.0947697488641</v>
      </c>
      <c r="C71">
        <v>218.20929000527121</v>
      </c>
      <c r="D71">
        <v>345.80306269013408</v>
      </c>
    </row>
    <row r="72" spans="1:4" x14ac:dyDescent="0.3">
      <c r="A72" s="5">
        <v>45791</v>
      </c>
      <c r="B72">
        <v>3266.8200969735599</v>
      </c>
      <c r="C72">
        <v>219.49315416942119</v>
      </c>
      <c r="D72">
        <v>347.10739187842239</v>
      </c>
    </row>
    <row r="73" spans="1:4" x14ac:dyDescent="0.3">
      <c r="A73" s="5">
        <v>45792</v>
      </c>
      <c r="B73">
        <v>3333.513014566423</v>
      </c>
      <c r="C73">
        <v>224.41435681845809</v>
      </c>
      <c r="D73">
        <v>354.1447466555893</v>
      </c>
    </row>
    <row r="74" spans="1:4" x14ac:dyDescent="0.3">
      <c r="A74" s="5">
        <v>45793</v>
      </c>
      <c r="B74">
        <v>3328.1768601080171</v>
      </c>
      <c r="C74">
        <v>224.4954795493386</v>
      </c>
      <c r="D74">
        <v>353.52900489037978</v>
      </c>
    </row>
    <row r="75" spans="1:4" x14ac:dyDescent="0.3">
      <c r="A75" s="5">
        <v>45796</v>
      </c>
      <c r="B75">
        <v>3397.3749064884728</v>
      </c>
      <c r="C75">
        <v>229.61349009752669</v>
      </c>
      <c r="D75">
        <v>360.82958091780017</v>
      </c>
    </row>
    <row r="76" spans="1:4" x14ac:dyDescent="0.3">
      <c r="A76" s="5">
        <v>45797</v>
      </c>
      <c r="B76">
        <v>3272.621193928353</v>
      </c>
      <c r="C76">
        <v>221.61664974200281</v>
      </c>
      <c r="D76">
        <v>347.53168257591437</v>
      </c>
    </row>
    <row r="77" spans="1:4" x14ac:dyDescent="0.3">
      <c r="A77" s="5">
        <v>45798</v>
      </c>
      <c r="B77">
        <v>3306.4536487691439</v>
      </c>
      <c r="C77">
        <v>224.34779581217541</v>
      </c>
      <c r="D77">
        <v>351.07597329463329</v>
      </c>
    </row>
    <row r="78" spans="1:4" x14ac:dyDescent="0.3">
      <c r="A78" s="5">
        <v>45799</v>
      </c>
      <c r="B78">
        <v>3306.7870175075482</v>
      </c>
      <c r="C78">
        <v>224.81139131725431</v>
      </c>
      <c r="D78">
        <v>351.06286975740659</v>
      </c>
    </row>
    <row r="79" spans="1:4" x14ac:dyDescent="0.3">
      <c r="A79" s="5">
        <v>45800</v>
      </c>
      <c r="B79">
        <v>3289.4738751270861</v>
      </c>
      <c r="C79">
        <v>224.07388937930801</v>
      </c>
      <c r="D79">
        <v>349.1765916734729</v>
      </c>
    </row>
    <row r="80" spans="1:4" x14ac:dyDescent="0.3">
      <c r="A80" s="5">
        <v>45803</v>
      </c>
      <c r="B80">
        <v>3290.020448287004</v>
      </c>
      <c r="C80">
        <v>224.55158742589279</v>
      </c>
      <c r="D80">
        <v>349.1863691822906</v>
      </c>
    </row>
    <row r="81" spans="1:4" x14ac:dyDescent="0.3">
      <c r="A81" s="5">
        <v>45804</v>
      </c>
      <c r="B81">
        <v>3197.096721986079</v>
      </c>
      <c r="C81">
        <v>218.63819283806569</v>
      </c>
      <c r="D81">
        <v>339.27703605574612</v>
      </c>
    </row>
    <row r="82" spans="1:4" x14ac:dyDescent="0.3">
      <c r="A82" s="5">
        <v>45805</v>
      </c>
      <c r="B82">
        <v>3183.856560883446</v>
      </c>
      <c r="C82">
        <v>218.16067513051851</v>
      </c>
      <c r="D82">
        <v>337.82531397694032</v>
      </c>
    </row>
    <row r="83" spans="1:4" x14ac:dyDescent="0.3">
      <c r="A83" s="5">
        <v>45806</v>
      </c>
      <c r="B83">
        <v>3196.1174990534901</v>
      </c>
      <c r="C83">
        <v>219.43122803678531</v>
      </c>
      <c r="D83">
        <v>339.07942459212393</v>
      </c>
    </row>
    <row r="84" spans="1:4" x14ac:dyDescent="0.3">
      <c r="A84" s="5">
        <v>45807</v>
      </c>
      <c r="B84">
        <v>3258.649799027588</v>
      </c>
      <c r="C84">
        <v>224.16412424165361</v>
      </c>
      <c r="D84">
        <v>345.66578655738931</v>
      </c>
    </row>
    <row r="85" spans="1:4" x14ac:dyDescent="0.3">
      <c r="A85" s="5">
        <v>45810</v>
      </c>
      <c r="B85">
        <v>3231.7534283302102</v>
      </c>
      <c r="C85">
        <v>222.7508437571035</v>
      </c>
      <c r="D85">
        <v>342.76536284177888</v>
      </c>
    </row>
    <row r="86" spans="1:4" x14ac:dyDescent="0.3">
      <c r="A86" s="5">
        <v>45811</v>
      </c>
      <c r="B86">
        <v>3192.213739878393</v>
      </c>
      <c r="C86">
        <v>220.4579799019846</v>
      </c>
      <c r="D86">
        <v>338.52494688936798</v>
      </c>
    </row>
    <row r="87" spans="1:4" x14ac:dyDescent="0.3">
      <c r="A87" s="5">
        <v>45812</v>
      </c>
      <c r="B87">
        <v>3166.59031644579</v>
      </c>
      <c r="C87">
        <v>219.11820513141569</v>
      </c>
      <c r="D87">
        <v>335.76127130458661</v>
      </c>
    </row>
    <row r="88" spans="1:4" x14ac:dyDescent="0.3">
      <c r="A88" s="5">
        <v>45813</v>
      </c>
      <c r="B88">
        <v>3203.474940558769</v>
      </c>
      <c r="C88">
        <v>222.1061760073195</v>
      </c>
      <c r="D88">
        <v>339.62531751952292</v>
      </c>
    </row>
    <row r="89" spans="1:4" x14ac:dyDescent="0.3">
      <c r="A89" s="5">
        <v>45814</v>
      </c>
      <c r="B89">
        <v>3214.5476928475168</v>
      </c>
      <c r="C89">
        <v>223.31191658978639</v>
      </c>
      <c r="D89">
        <v>340.75215034563922</v>
      </c>
    </row>
    <row r="90" spans="1:4" x14ac:dyDescent="0.3">
      <c r="A90" s="5">
        <v>45817</v>
      </c>
      <c r="B90">
        <v>3187.5077267010179</v>
      </c>
      <c r="C90">
        <v>221.86867664697951</v>
      </c>
      <c r="D90">
        <v>337.8391556110891</v>
      </c>
    </row>
    <row r="91" spans="1:4" x14ac:dyDescent="0.3">
      <c r="A91" s="5">
        <v>45818</v>
      </c>
      <c r="B91">
        <v>3206.7148829349039</v>
      </c>
      <c r="C91">
        <v>223.64429065033161</v>
      </c>
      <c r="D91">
        <v>339.82794508296081</v>
      </c>
    </row>
    <row r="92" spans="1:4" x14ac:dyDescent="0.3">
      <c r="A92" s="5">
        <v>45819</v>
      </c>
      <c r="B92">
        <v>3207.4840350952081</v>
      </c>
      <c r="C92">
        <v>224.13758748875671</v>
      </c>
      <c r="D92">
        <v>339.86250216604628</v>
      </c>
    </row>
    <row r="93" spans="1:4" x14ac:dyDescent="0.3">
      <c r="A93" s="5">
        <v>45820</v>
      </c>
      <c r="B93">
        <v>3247.240171168507</v>
      </c>
      <c r="C93">
        <v>227.36170744434921</v>
      </c>
      <c r="D93">
        <v>344.02750293619579</v>
      </c>
    </row>
    <row r="94" spans="1:4" x14ac:dyDescent="0.3">
      <c r="A94" s="5">
        <v>45821</v>
      </c>
      <c r="B94">
        <v>3212.2459832547361</v>
      </c>
      <c r="C94">
        <v>225.35356213315021</v>
      </c>
      <c r="D94">
        <v>340.27304866524872</v>
      </c>
    </row>
    <row r="95" spans="1:4" x14ac:dyDescent="0.3">
      <c r="A95" s="5">
        <v>45824</v>
      </c>
      <c r="B95">
        <v>3194.1591131348459</v>
      </c>
      <c r="C95">
        <v>224.52510088565029</v>
      </c>
      <c r="D95">
        <v>338.31036895466042</v>
      </c>
    </row>
    <row r="96" spans="1:4" x14ac:dyDescent="0.3">
      <c r="A96" s="5">
        <v>45825</v>
      </c>
      <c r="B96">
        <v>3173.338588552047</v>
      </c>
      <c r="C96">
        <v>223.49997986116799</v>
      </c>
      <c r="D96">
        <v>336.05872909645922</v>
      </c>
    </row>
    <row r="97" spans="1:4" x14ac:dyDescent="0.3">
      <c r="A97" s="5">
        <v>45826</v>
      </c>
      <c r="B97">
        <v>3106.1880439809879</v>
      </c>
      <c r="C97">
        <v>219.2005000900472</v>
      </c>
      <c r="D97">
        <v>328.90200173810217</v>
      </c>
    </row>
    <row r="98" spans="1:4" x14ac:dyDescent="0.3">
      <c r="A98" s="5">
        <v>45827</v>
      </c>
      <c r="B98">
        <v>3115.515306356448</v>
      </c>
      <c r="C98">
        <v>220.2908240955397</v>
      </c>
      <c r="D98">
        <v>329.84405990321778</v>
      </c>
    </row>
    <row r="99" spans="1:4" x14ac:dyDescent="0.3">
      <c r="A99" s="5">
        <v>45828</v>
      </c>
      <c r="B99">
        <v>3123.3523981639869</v>
      </c>
      <c r="C99">
        <v>221.27901363640129</v>
      </c>
      <c r="D99">
        <v>330.6281068369546</v>
      </c>
    </row>
    <row r="100" spans="1:4" x14ac:dyDescent="0.3">
      <c r="A100" s="5">
        <v>45831</v>
      </c>
      <c r="B100">
        <v>3120.1224161932382</v>
      </c>
      <c r="C100">
        <v>221.48463065139799</v>
      </c>
      <c r="D100">
        <v>330.24056762277752</v>
      </c>
    </row>
    <row r="101" spans="1:4" x14ac:dyDescent="0.3">
      <c r="A101" s="5">
        <v>45832</v>
      </c>
      <c r="B101">
        <v>3106.5588190448329</v>
      </c>
      <c r="C101">
        <v>220.95521870654269</v>
      </c>
      <c r="D101">
        <v>328.75954785735922</v>
      </c>
    </row>
    <row r="102" spans="1:4" x14ac:dyDescent="0.3">
      <c r="A102" s="5">
        <v>45833</v>
      </c>
      <c r="B102">
        <v>3042.8509528462391</v>
      </c>
      <c r="C102">
        <v>216.84932970789609</v>
      </c>
      <c r="D102">
        <v>321.97301820307553</v>
      </c>
    </row>
    <row r="103" spans="1:4" x14ac:dyDescent="0.3">
      <c r="A103" s="5">
        <v>45834</v>
      </c>
      <c r="B103">
        <v>3021.8213715731631</v>
      </c>
      <c r="C103">
        <v>215.77390131843109</v>
      </c>
      <c r="D103">
        <v>319.70364835535008</v>
      </c>
    </row>
    <row r="104" spans="1:4" x14ac:dyDescent="0.3">
      <c r="A104" s="5">
        <v>45835</v>
      </c>
      <c r="B104">
        <v>3004.179950095061</v>
      </c>
      <c r="C104">
        <v>214.9358158915046</v>
      </c>
      <c r="D104">
        <v>317.79331144220743</v>
      </c>
    </row>
    <row r="105" spans="1:4" x14ac:dyDescent="0.3">
      <c r="A105" s="5">
        <v>45838</v>
      </c>
      <c r="B105">
        <v>2967.680221266914</v>
      </c>
      <c r="C105">
        <v>212.74172222640999</v>
      </c>
      <c r="D105">
        <v>313.88886997190127</v>
      </c>
    </row>
    <row r="106" spans="1:4" x14ac:dyDescent="0.3">
      <c r="A106" s="5">
        <v>45839</v>
      </c>
      <c r="B106">
        <v>2957.782484917444</v>
      </c>
      <c r="C106">
        <v>212.44891759102569</v>
      </c>
      <c r="D106">
        <v>312.79878128249391</v>
      </c>
    </row>
    <row r="107" spans="1:4" x14ac:dyDescent="0.3">
      <c r="A107" s="5">
        <v>45840</v>
      </c>
      <c r="B107">
        <v>2971.1049040826369</v>
      </c>
      <c r="C107">
        <v>213.82525445404411</v>
      </c>
      <c r="D107">
        <v>314.16428428192057</v>
      </c>
    </row>
    <row r="108" spans="1:4" x14ac:dyDescent="0.3">
      <c r="A108" s="5">
        <v>45841</v>
      </c>
      <c r="B108">
        <v>3046.4240018589908</v>
      </c>
      <c r="C108">
        <v>219.6767431093256</v>
      </c>
      <c r="D108">
        <v>322.0840200598322</v>
      </c>
    </row>
    <row r="109" spans="1:4" x14ac:dyDescent="0.3">
      <c r="A109" s="5">
        <v>45842</v>
      </c>
      <c r="B109">
        <v>3050.4292701111549</v>
      </c>
      <c r="C109">
        <v>220.39788050493451</v>
      </c>
      <c r="D109">
        <v>322.46292901412028</v>
      </c>
    </row>
    <row r="110" spans="1:4" x14ac:dyDescent="0.3">
      <c r="A110" s="5">
        <v>45845</v>
      </c>
      <c r="B110">
        <v>3057.9540998305552</v>
      </c>
      <c r="C110">
        <v>221.37579711582379</v>
      </c>
      <c r="D110">
        <v>323.21373095822031</v>
      </c>
    </row>
    <row r="111" spans="1:4" x14ac:dyDescent="0.3">
      <c r="A111" s="5">
        <v>45846</v>
      </c>
      <c r="B111">
        <v>3051.4254244153681</v>
      </c>
      <c r="C111">
        <v>221.33732531591801</v>
      </c>
      <c r="D111">
        <v>322.47912424703702</v>
      </c>
    </row>
    <row r="112" spans="1:4" x14ac:dyDescent="0.3">
      <c r="A112" s="5">
        <v>45847</v>
      </c>
      <c r="B112">
        <v>2968.0691506350681</v>
      </c>
      <c r="C112">
        <v>215.71414974840721</v>
      </c>
      <c r="D112">
        <v>313.62658233195862</v>
      </c>
    </row>
    <row r="113" spans="1:4" x14ac:dyDescent="0.3">
      <c r="A113" s="5">
        <v>45848</v>
      </c>
      <c r="B113">
        <v>2963.7004381882671</v>
      </c>
      <c r="C113">
        <v>215.8199782061271</v>
      </c>
      <c r="D113">
        <v>313.12169553182707</v>
      </c>
    </row>
    <row r="114" spans="1:4" x14ac:dyDescent="0.3">
      <c r="A114" s="5">
        <v>45849</v>
      </c>
      <c r="B114">
        <v>2962.897893358399</v>
      </c>
      <c r="C114">
        <v>216.185592107915</v>
      </c>
      <c r="D114">
        <v>312.99366390995561</v>
      </c>
    </row>
    <row r="115" spans="1:4" x14ac:dyDescent="0.3">
      <c r="A115" s="5">
        <v>45852</v>
      </c>
      <c r="B115">
        <v>3062.4020569525551</v>
      </c>
      <c r="C115">
        <v>223.88499653448099</v>
      </c>
      <c r="D115">
        <v>323.46036611146383</v>
      </c>
    </row>
    <row r="116" spans="1:4" x14ac:dyDescent="0.3">
      <c r="A116" s="5">
        <v>45853</v>
      </c>
      <c r="B116">
        <v>3050.8742264239581</v>
      </c>
      <c r="C116">
        <v>223.48058953791801</v>
      </c>
      <c r="D116">
        <v>322.19824846448768</v>
      </c>
    </row>
    <row r="117" spans="1:4" x14ac:dyDescent="0.3">
      <c r="A117" s="5">
        <v>45854</v>
      </c>
      <c r="B117">
        <v>3060.2655526573549</v>
      </c>
      <c r="C117">
        <v>224.60909578926069</v>
      </c>
      <c r="D117">
        <v>323.1454089082315</v>
      </c>
    </row>
    <row r="118" spans="1:4" x14ac:dyDescent="0.3">
      <c r="A118" s="5">
        <v>45855</v>
      </c>
      <c r="B118">
        <v>3055.413984143242</v>
      </c>
      <c r="C118">
        <v>224.6937586823056</v>
      </c>
      <c r="D118">
        <v>322.58854631987037</v>
      </c>
    </row>
    <row r="119" spans="1:4" x14ac:dyDescent="0.3">
      <c r="A119" s="5">
        <v>45856</v>
      </c>
      <c r="B119">
        <v>3003.004231776978</v>
      </c>
      <c r="C119">
        <v>221.2736057044512</v>
      </c>
      <c r="D119">
        <v>317.01136404622417</v>
      </c>
    </row>
    <row r="120" spans="1:4" x14ac:dyDescent="0.3">
      <c r="A120" s="5">
        <v>45859</v>
      </c>
      <c r="B120">
        <v>3047.5734788903101</v>
      </c>
      <c r="C120">
        <v>224.99899362827091</v>
      </c>
      <c r="D120">
        <v>321.67186522408412</v>
      </c>
    </row>
    <row r="121" spans="1:4" x14ac:dyDescent="0.3">
      <c r="A121" s="5">
        <v>45860</v>
      </c>
      <c r="B121">
        <v>3076.0950915891581</v>
      </c>
      <c r="C121">
        <v>227.551062791211</v>
      </c>
      <c r="D121">
        <v>324.63747642004557</v>
      </c>
    </row>
    <row r="122" spans="1:4" x14ac:dyDescent="0.3">
      <c r="A122" s="5">
        <v>45861</v>
      </c>
      <c r="B122">
        <v>3106.5665003957079</v>
      </c>
      <c r="C122">
        <v>230.2568121676386</v>
      </c>
      <c r="D122">
        <v>327.80800661365782</v>
      </c>
    </row>
    <row r="123" spans="1:4" x14ac:dyDescent="0.3">
      <c r="A123" s="5">
        <v>45862</v>
      </c>
      <c r="B123">
        <v>3064.270806336177</v>
      </c>
      <c r="C123">
        <v>227.56826480017651</v>
      </c>
      <c r="D123">
        <v>323.30025782240261</v>
      </c>
    </row>
    <row r="124" spans="1:4" x14ac:dyDescent="0.3">
      <c r="A124" s="5">
        <v>45863</v>
      </c>
      <c r="B124">
        <v>3120.9735631883582</v>
      </c>
      <c r="C124">
        <v>232.23483592037459</v>
      </c>
      <c r="D124">
        <v>329.23727794787197</v>
      </c>
    </row>
    <row r="125" spans="1:4" x14ac:dyDescent="0.3">
      <c r="A125" s="5">
        <v>45866</v>
      </c>
      <c r="B125">
        <v>3057.5429094074648</v>
      </c>
      <c r="C125">
        <v>227.96205215578581</v>
      </c>
      <c r="D125">
        <v>322.50130643229278</v>
      </c>
    </row>
    <row r="126" spans="1:4" x14ac:dyDescent="0.3">
      <c r="A126" s="5">
        <v>45867</v>
      </c>
      <c r="B126">
        <v>3079.1055749668471</v>
      </c>
      <c r="C126">
        <v>230.02090022010779</v>
      </c>
      <c r="D126">
        <v>324.73081526892457</v>
      </c>
    </row>
    <row r="127" spans="1:4" x14ac:dyDescent="0.3">
      <c r="A127" s="5">
        <v>45868</v>
      </c>
      <c r="B127">
        <v>3170.5037224131502</v>
      </c>
      <c r="C127">
        <v>237.31419018570659</v>
      </c>
      <c r="D127">
        <v>334.32372375659412</v>
      </c>
    </row>
    <row r="128" spans="1:4" x14ac:dyDescent="0.3">
      <c r="A128" s="5">
        <v>45869</v>
      </c>
      <c r="B128">
        <v>3123.822445376175</v>
      </c>
      <c r="C128">
        <v>234.27961556614659</v>
      </c>
      <c r="D128">
        <v>329.35576846667732</v>
      </c>
    </row>
    <row r="129" spans="1:4" x14ac:dyDescent="0.3">
      <c r="A129" s="5">
        <v>45870</v>
      </c>
      <c r="B129">
        <v>3095.9775532297749</v>
      </c>
      <c r="C129">
        <v>232.64765872767529</v>
      </c>
      <c r="D129">
        <v>326.37489235098241</v>
      </c>
    </row>
    <row r="130" spans="1:4" x14ac:dyDescent="0.3">
      <c r="A130" s="5">
        <v>45873</v>
      </c>
      <c r="B130">
        <v>3096.8306054476539</v>
      </c>
      <c r="C130">
        <v>233.1691314137332</v>
      </c>
      <c r="D130">
        <v>326.41972449083289</v>
      </c>
    </row>
    <row r="131" spans="1:4" x14ac:dyDescent="0.3">
      <c r="A131" s="5">
        <v>45874</v>
      </c>
      <c r="B131">
        <v>3071.8996417393041</v>
      </c>
      <c r="C131">
        <v>231.74658826154581</v>
      </c>
      <c r="D131">
        <v>323.7471634312451</v>
      </c>
    </row>
    <row r="132" spans="1:4" x14ac:dyDescent="0.3">
      <c r="A132" s="5">
        <v>45875</v>
      </c>
      <c r="B132">
        <v>3003.266202135801</v>
      </c>
      <c r="C132">
        <v>227.0141228654916</v>
      </c>
      <c r="D132">
        <v>316.47017160022142</v>
      </c>
    </row>
    <row r="133" spans="1:4" x14ac:dyDescent="0.3">
      <c r="A133" s="5">
        <v>45876</v>
      </c>
      <c r="B133">
        <v>3002.7996903230328</v>
      </c>
      <c r="C133">
        <v>227.4249622252469</v>
      </c>
      <c r="D133">
        <v>316.37730436977068</v>
      </c>
    </row>
    <row r="134" spans="1:4" x14ac:dyDescent="0.3">
      <c r="A134" s="5">
        <v>45877</v>
      </c>
      <c r="B134">
        <v>2955.646467119001</v>
      </c>
      <c r="C134">
        <v>224.29364874603081</v>
      </c>
      <c r="D134">
        <v>311.36618810648571</v>
      </c>
    </row>
    <row r="135" spans="1:4" x14ac:dyDescent="0.3">
      <c r="A135" s="5">
        <v>45880</v>
      </c>
      <c r="B135">
        <v>2971.8219957058241</v>
      </c>
      <c r="C135">
        <v>225.96439049525509</v>
      </c>
      <c r="D135">
        <v>313.02697339162421</v>
      </c>
    </row>
    <row r="136" spans="1:4" x14ac:dyDescent="0.3">
      <c r="A136" s="5">
        <v>45881</v>
      </c>
      <c r="B136">
        <v>2930.953124790105</v>
      </c>
      <c r="C136">
        <v>223.29490098479471</v>
      </c>
      <c r="D136">
        <v>308.67954204546191</v>
      </c>
    </row>
    <row r="137" spans="1:4" x14ac:dyDescent="0.3">
      <c r="A137" s="5">
        <v>45882</v>
      </c>
      <c r="B137">
        <v>2991.2824249472792</v>
      </c>
      <c r="C137">
        <v>228.33898905438329</v>
      </c>
      <c r="D137">
        <v>314.98973349462432</v>
      </c>
    </row>
    <row r="138" spans="1:4" x14ac:dyDescent="0.3">
      <c r="A138" s="5">
        <v>45883</v>
      </c>
      <c r="B138">
        <v>2955.7185617139398</v>
      </c>
      <c r="C138">
        <v>226.06766832604751</v>
      </c>
      <c r="D138">
        <v>311.20177383934993</v>
      </c>
    </row>
    <row r="139" spans="1:4" x14ac:dyDescent="0.3">
      <c r="A139" s="5">
        <v>45884</v>
      </c>
      <c r="B139">
        <v>2939.3042271453719</v>
      </c>
      <c r="C139">
        <v>225.25406479483661</v>
      </c>
      <c r="D139">
        <v>309.4307922348014</v>
      </c>
    </row>
    <row r="140" spans="1:4" x14ac:dyDescent="0.3">
      <c r="A140" s="5">
        <v>45887</v>
      </c>
      <c r="B140">
        <v>2969.345756099297</v>
      </c>
      <c r="C140">
        <v>228.0035397857759</v>
      </c>
      <c r="D140">
        <v>312.55018894156461</v>
      </c>
    </row>
    <row r="141" spans="1:4" x14ac:dyDescent="0.3">
      <c r="A141" s="5">
        <v>45888</v>
      </c>
      <c r="B141">
        <v>2915.8982736911712</v>
      </c>
      <c r="C141">
        <v>224.33958345519409</v>
      </c>
      <c r="D141">
        <v>306.88196697212209</v>
      </c>
    </row>
    <row r="142" spans="1:4" x14ac:dyDescent="0.3">
      <c r="A142" s="5">
        <v>45889</v>
      </c>
      <c r="B142">
        <v>2921.8725236162231</v>
      </c>
      <c r="C142">
        <v>225.24104122943629</v>
      </c>
      <c r="D142">
        <v>307.46824574384033</v>
      </c>
    </row>
    <row r="143" spans="1:4" x14ac:dyDescent="0.3">
      <c r="A143" s="5">
        <v>45890</v>
      </c>
      <c r="B143">
        <v>2971.9979627582888</v>
      </c>
      <c r="C143">
        <v>229.5553879537668</v>
      </c>
      <c r="D143">
        <v>312.69973851638429</v>
      </c>
    </row>
    <row r="144" spans="1:4" x14ac:dyDescent="0.3">
      <c r="A144" s="5">
        <v>45891</v>
      </c>
      <c r="B144">
        <v>2903.3094539387348</v>
      </c>
      <c r="C144">
        <v>224.69066675933831</v>
      </c>
      <c r="D144">
        <v>305.43045851946857</v>
      </c>
    </row>
    <row r="145" spans="1:4" x14ac:dyDescent="0.3">
      <c r="A145" s="5">
        <v>45894</v>
      </c>
      <c r="B145">
        <v>2907.5317392997908</v>
      </c>
      <c r="C145">
        <v>225.45968217074</v>
      </c>
      <c r="D145">
        <v>305.83239470480549</v>
      </c>
    </row>
    <row r="146" spans="1:4" x14ac:dyDescent="0.3">
      <c r="A146" s="5">
        <v>45895</v>
      </c>
      <c r="B146">
        <v>2914.7982845818442</v>
      </c>
      <c r="C146">
        <v>226.4673784833073</v>
      </c>
      <c r="D146">
        <v>306.55438410905867</v>
      </c>
    </row>
    <row r="147" spans="1:4" x14ac:dyDescent="0.3">
      <c r="A147" s="5">
        <v>45896</v>
      </c>
      <c r="B147">
        <v>2943.296243153663</v>
      </c>
      <c r="C147">
        <v>229.13099716687131</v>
      </c>
      <c r="D147">
        <v>309.50880428000619</v>
      </c>
    </row>
    <row r="148" spans="1:4" x14ac:dyDescent="0.3">
      <c r="A148" s="5">
        <v>45897</v>
      </c>
      <c r="B148">
        <v>2890.0738589139719</v>
      </c>
      <c r="C148">
        <v>225.42990719401499</v>
      </c>
      <c r="D148">
        <v>303.87010665874573</v>
      </c>
    </row>
    <row r="149" spans="1:4" x14ac:dyDescent="0.3">
      <c r="A149" s="5">
        <v>45898</v>
      </c>
      <c r="B149">
        <v>2834.5316183866539</v>
      </c>
      <c r="C149">
        <v>221.53207619154441</v>
      </c>
      <c r="D149">
        <v>297.98907870881482</v>
      </c>
    </row>
    <row r="150" spans="1:4" x14ac:dyDescent="0.3">
      <c r="A150" s="5">
        <v>45901</v>
      </c>
      <c r="B150">
        <v>2851.9546444129601</v>
      </c>
      <c r="C150">
        <v>223.3318419763134</v>
      </c>
      <c r="D150">
        <v>299.77931395008483</v>
      </c>
    </row>
    <row r="151" spans="1:4" x14ac:dyDescent="0.3">
      <c r="A151" s="5">
        <v>45902</v>
      </c>
      <c r="B151">
        <v>2860.552762175626</v>
      </c>
      <c r="C151">
        <v>224.44540437309689</v>
      </c>
      <c r="D151">
        <v>300.64155888837632</v>
      </c>
    </row>
    <row r="152" spans="1:4" x14ac:dyDescent="0.3">
      <c r="A152" s="5">
        <v>45903</v>
      </c>
      <c r="B152">
        <v>2867.328740297065</v>
      </c>
      <c r="C152">
        <v>225.41923109967769</v>
      </c>
      <c r="D152">
        <v>301.31208108920117</v>
      </c>
    </row>
    <row r="153" spans="1:4" x14ac:dyDescent="0.3">
      <c r="A153" s="5">
        <v>45904</v>
      </c>
      <c r="B153">
        <v>2877.945364153376</v>
      </c>
      <c r="C153">
        <v>226.69855014223589</v>
      </c>
      <c r="D153">
        <v>302.38594926423991</v>
      </c>
    </row>
    <row r="154" spans="1:4" x14ac:dyDescent="0.3">
      <c r="A154" s="5">
        <v>45905</v>
      </c>
      <c r="B154">
        <v>2847.8001730108622</v>
      </c>
      <c r="C154">
        <v>224.76486885706331</v>
      </c>
      <c r="D154">
        <v>299.17725946319968</v>
      </c>
    </row>
    <row r="155" spans="1:4" x14ac:dyDescent="0.3">
      <c r="A155" s="5">
        <v>45908</v>
      </c>
      <c r="B155">
        <v>2853.8244882688632</v>
      </c>
      <c r="C155">
        <v>225.68302836696941</v>
      </c>
      <c r="D155">
        <v>299.76873343945988</v>
      </c>
    </row>
    <row r="156" spans="1:4" x14ac:dyDescent="0.3">
      <c r="A156" s="5">
        <v>45909</v>
      </c>
      <c r="B156">
        <v>2862.2730523536079</v>
      </c>
      <c r="C156">
        <v>226.79601733452111</v>
      </c>
      <c r="D156">
        <v>300.61464878006581</v>
      </c>
    </row>
    <row r="157" spans="1:4" x14ac:dyDescent="0.3">
      <c r="A157" s="5">
        <v>45910</v>
      </c>
      <c r="B157">
        <v>2830.9449548137741</v>
      </c>
      <c r="C157">
        <v>224.754558262975</v>
      </c>
      <c r="D157">
        <v>297.28329643840141</v>
      </c>
    </row>
    <row r="158" spans="1:4" x14ac:dyDescent="0.3">
      <c r="A158" s="5">
        <v>45911</v>
      </c>
      <c r="B158">
        <v>2901.8899339087102</v>
      </c>
      <c r="C158">
        <v>230.83982740732009</v>
      </c>
      <c r="D158">
        <v>304.69127927347881</v>
      </c>
    </row>
    <row r="159" spans="1:4" x14ac:dyDescent="0.3">
      <c r="A159" s="5">
        <v>45912</v>
      </c>
      <c r="B159">
        <v>2917.7809907702099</v>
      </c>
      <c r="C159">
        <v>232.56010610389441</v>
      </c>
      <c r="D159">
        <v>306.31748241277592</v>
      </c>
    </row>
    <row r="160" spans="1:4" x14ac:dyDescent="0.3">
      <c r="A160" s="5">
        <v>45915</v>
      </c>
      <c r="B160">
        <v>2866.8330044087811</v>
      </c>
      <c r="C160">
        <v>228.9484161429753</v>
      </c>
      <c r="D160">
        <v>300.92723462822681</v>
      </c>
    </row>
    <row r="161" spans="1:4" x14ac:dyDescent="0.3">
      <c r="A161" s="5">
        <v>45916</v>
      </c>
      <c r="B161">
        <v>2889.840687151875</v>
      </c>
      <c r="C161">
        <v>231.23941958398979</v>
      </c>
      <c r="D161">
        <v>303.30041538597231</v>
      </c>
    </row>
    <row r="162" spans="1:4" x14ac:dyDescent="0.3">
      <c r="A162" s="5">
        <v>45917</v>
      </c>
      <c r="B162">
        <v>2847.9174742048458</v>
      </c>
      <c r="C162">
        <v>228.33268888815189</v>
      </c>
      <c r="D162">
        <v>298.85911718528138</v>
      </c>
    </row>
    <row r="163" spans="1:4" x14ac:dyDescent="0.3">
      <c r="A163" s="5">
        <v>45918</v>
      </c>
      <c r="B163">
        <v>2875.9712499868242</v>
      </c>
      <c r="C163">
        <v>231.0350932445038</v>
      </c>
      <c r="D163">
        <v>301.76137802763537</v>
      </c>
    </row>
    <row r="164" spans="1:4" x14ac:dyDescent="0.3">
      <c r="A164" s="5">
        <v>45919</v>
      </c>
      <c r="B164">
        <v>2919.2931888103499</v>
      </c>
      <c r="C164">
        <v>234.97618452102111</v>
      </c>
      <c r="D164">
        <v>306.26462258526209</v>
      </c>
    </row>
    <row r="165" spans="1:4" x14ac:dyDescent="0.3">
      <c r="A165" s="5">
        <v>45922</v>
      </c>
      <c r="B165">
        <v>2883.0893208442271</v>
      </c>
      <c r="C165">
        <v>232.51820009929361</v>
      </c>
      <c r="D165">
        <v>302.42467447561768</v>
      </c>
    </row>
    <row r="166" spans="1:4" x14ac:dyDescent="0.3">
      <c r="A166" s="5">
        <v>45923</v>
      </c>
      <c r="B166">
        <v>2918.611524510437</v>
      </c>
      <c r="C166">
        <v>235.84564948375339</v>
      </c>
      <c r="D166">
        <v>306.108523507033</v>
      </c>
    </row>
    <row r="167" spans="1:4" x14ac:dyDescent="0.3">
      <c r="A167" s="5">
        <v>45924</v>
      </c>
      <c r="B167">
        <v>2932.112237338687</v>
      </c>
      <c r="C167">
        <v>237.4022815403853</v>
      </c>
      <c r="D167">
        <v>307.48201981526648</v>
      </c>
    </row>
    <row r="168" spans="1:4" x14ac:dyDescent="0.3">
      <c r="A168" s="5">
        <v>45925</v>
      </c>
      <c r="B168">
        <v>2962.430973112916</v>
      </c>
      <c r="C168">
        <v>240.32849073314361</v>
      </c>
      <c r="D168">
        <v>310.6185440029783</v>
      </c>
    </row>
    <row r="169" spans="1:4" x14ac:dyDescent="0.3">
      <c r="A169" s="5">
        <v>45926</v>
      </c>
      <c r="B169">
        <v>3037.9767328660282</v>
      </c>
      <c r="C169">
        <v>246.9415581741296</v>
      </c>
      <c r="D169">
        <v>318.49571110562829</v>
      </c>
    </row>
    <row r="170" spans="1:4" x14ac:dyDescent="0.3">
      <c r="A170" s="5">
        <v>45929</v>
      </c>
      <c r="B170">
        <v>3024.317497634413</v>
      </c>
      <c r="C170">
        <v>246.31442389143959</v>
      </c>
      <c r="D170">
        <v>317.01990565418868</v>
      </c>
    </row>
    <row r="171" spans="1:4" x14ac:dyDescent="0.3">
      <c r="A171" s="5">
        <v>45930</v>
      </c>
      <c r="B171">
        <v>2989.5835705194759</v>
      </c>
      <c r="C171">
        <v>243.9640766479649</v>
      </c>
      <c r="D171">
        <v>313.33568152064879</v>
      </c>
    </row>
    <row r="172" spans="1:4" x14ac:dyDescent="0.3">
      <c r="A172" s="5">
        <v>45931</v>
      </c>
      <c r="B172">
        <v>2949.6928667470452</v>
      </c>
      <c r="C172">
        <v>241.18189494526459</v>
      </c>
      <c r="D172">
        <v>309.11206650282389</v>
      </c>
    </row>
    <row r="173" spans="1:4" x14ac:dyDescent="0.3">
      <c r="A173" s="5">
        <v>45932</v>
      </c>
      <c r="B173">
        <v>2913.3086946030539</v>
      </c>
      <c r="C173">
        <v>238.67511007395279</v>
      </c>
      <c r="D173">
        <v>305.25702738993368</v>
      </c>
    </row>
    <row r="174" spans="1:4" x14ac:dyDescent="0.3">
      <c r="A174" s="5">
        <v>45933</v>
      </c>
      <c r="B174">
        <v>2906.9818385727958</v>
      </c>
      <c r="C174">
        <v>238.62484896266611</v>
      </c>
      <c r="D174">
        <v>304.55202353870368</v>
      </c>
    </row>
    <row r="175" spans="1:4" x14ac:dyDescent="0.3">
      <c r="A175" s="5">
        <v>45936</v>
      </c>
      <c r="B175">
        <v>2917.5311312420299</v>
      </c>
      <c r="C175">
        <v>239.96150012916479</v>
      </c>
      <c r="D175">
        <v>305.61500614907419</v>
      </c>
    </row>
    <row r="176" spans="1:4" x14ac:dyDescent="0.3">
      <c r="A176" s="5">
        <v>45937</v>
      </c>
      <c r="B176">
        <v>2925.504046084433</v>
      </c>
      <c r="C176">
        <v>241.09016488416461</v>
      </c>
      <c r="D176">
        <v>306.40784778609577</v>
      </c>
    </row>
    <row r="177" spans="1:4" x14ac:dyDescent="0.3">
      <c r="A177" s="5">
        <v>45938</v>
      </c>
      <c r="B177">
        <v>2955.9643156609441</v>
      </c>
      <c r="C177">
        <v>244.0791595952054</v>
      </c>
      <c r="D177">
        <v>309.55539214240702</v>
      </c>
    </row>
    <row r="178" spans="1:4" x14ac:dyDescent="0.3">
      <c r="A178" s="5">
        <v>45939</v>
      </c>
      <c r="B178">
        <v>2953.2302759469749</v>
      </c>
      <c r="C178">
        <v>244.33267280261381</v>
      </c>
      <c r="D178">
        <v>309.22635673527202</v>
      </c>
    </row>
    <row r="179" spans="1:4" x14ac:dyDescent="0.3">
      <c r="A179" s="5">
        <v>45940</v>
      </c>
      <c r="B179">
        <v>3009.9941297650389</v>
      </c>
      <c r="C179">
        <v>249.51841546582429</v>
      </c>
      <c r="D179">
        <v>315.12644155064947</v>
      </c>
    </row>
    <row r="180" spans="1:4" x14ac:dyDescent="0.3">
      <c r="A180" s="5">
        <v>45943</v>
      </c>
      <c r="B180">
        <v>2995.660642845392</v>
      </c>
      <c r="C180">
        <v>248.81828384287101</v>
      </c>
      <c r="D180">
        <v>313.58249815862899</v>
      </c>
    </row>
    <row r="181" spans="1:4" x14ac:dyDescent="0.3">
      <c r="A181" s="5">
        <v>45944</v>
      </c>
      <c r="B181">
        <v>3107.309533364863</v>
      </c>
      <c r="C181">
        <v>258.59904432633039</v>
      </c>
      <c r="D181">
        <v>325.22485188779251</v>
      </c>
    </row>
    <row r="182" spans="1:4" x14ac:dyDescent="0.3">
      <c r="A182" s="5">
        <v>45945</v>
      </c>
      <c r="B182">
        <v>3130.906702684495</v>
      </c>
      <c r="C182">
        <v>261.07497548237222</v>
      </c>
      <c r="D182">
        <v>327.64937104097919</v>
      </c>
    </row>
    <row r="183" spans="1:4" x14ac:dyDescent="0.3">
      <c r="A183" s="5">
        <v>45946</v>
      </c>
      <c r="B183">
        <v>3090.5158428774139</v>
      </c>
      <c r="C183">
        <v>258.21342317893931</v>
      </c>
      <c r="D183">
        <v>323.37779223061199</v>
      </c>
    </row>
    <row r="184" spans="1:4" x14ac:dyDescent="0.3">
      <c r="A184" s="5">
        <v>45947</v>
      </c>
      <c r="B184">
        <v>3041.623141332946</v>
      </c>
      <c r="C184">
        <v>254.62788703152339</v>
      </c>
      <c r="D184">
        <v>318.2179153529915</v>
      </c>
    </row>
    <row r="185" spans="1:4" x14ac:dyDescent="0.3">
      <c r="A185" s="5">
        <v>45950</v>
      </c>
      <c r="B185">
        <v>3058.645588299084</v>
      </c>
      <c r="C185">
        <v>256.55615674066797</v>
      </c>
      <c r="D185">
        <v>319.95461962648727</v>
      </c>
    </row>
    <row r="186" spans="1:4" x14ac:dyDescent="0.3">
      <c r="A186" s="5">
        <v>45951</v>
      </c>
      <c r="B186">
        <v>3045.8187738523761</v>
      </c>
      <c r="C186">
        <v>255.98237526316589</v>
      </c>
      <c r="D186">
        <v>318.56883858211819</v>
      </c>
    </row>
    <row r="187" spans="1:4" x14ac:dyDescent="0.3">
      <c r="A187" s="5">
        <v>45952</v>
      </c>
      <c r="B187">
        <v>3072.7082308626459</v>
      </c>
      <c r="C187">
        <v>258.74981652913681</v>
      </c>
      <c r="D187">
        <v>321.33687205440867</v>
      </c>
    </row>
    <row r="188" spans="1:4" x14ac:dyDescent="0.3">
      <c r="A188" s="5">
        <v>45953</v>
      </c>
      <c r="B188">
        <v>3089.50921816963</v>
      </c>
      <c r="C188">
        <v>260.67593716199002</v>
      </c>
      <c r="D188">
        <v>323.04925113852192</v>
      </c>
    </row>
    <row r="189" spans="1:4" x14ac:dyDescent="0.3">
      <c r="A189" s="5">
        <v>45954</v>
      </c>
      <c r="B189">
        <v>3082.9822606523699</v>
      </c>
      <c r="C189">
        <v>260.63647626845079</v>
      </c>
      <c r="D189">
        <v>322.32224127801032</v>
      </c>
    </row>
    <row r="190" spans="1:4" x14ac:dyDescent="0.3">
      <c r="A190" s="5">
        <v>45957</v>
      </c>
      <c r="B190">
        <v>3043.6467847228232</v>
      </c>
      <c r="C190">
        <v>257.81675758387962</v>
      </c>
      <c r="D190">
        <v>318.16580713555021</v>
      </c>
    </row>
    <row r="191" spans="1:4" x14ac:dyDescent="0.3">
      <c r="A191" s="5">
        <v>45958</v>
      </c>
      <c r="B191">
        <v>2977.1219554999502</v>
      </c>
      <c r="C191">
        <v>252.6773061168571</v>
      </c>
      <c r="D191">
        <v>311.16868485455848</v>
      </c>
    </row>
    <row r="192" spans="1:4" x14ac:dyDescent="0.3">
      <c r="A192" s="5">
        <v>45959</v>
      </c>
      <c r="B192">
        <v>2955.4868475683938</v>
      </c>
      <c r="C192">
        <v>251.33407051788561</v>
      </c>
      <c r="D192">
        <v>308.86471360583198</v>
      </c>
    </row>
    <row r="193" spans="1:4" x14ac:dyDescent="0.3">
      <c r="A193" s="5">
        <v>45960</v>
      </c>
      <c r="B193">
        <v>2987.4686468135101</v>
      </c>
      <c r="C193">
        <v>254.55311241697731</v>
      </c>
      <c r="D193">
        <v>312.1638621285357</v>
      </c>
    </row>
    <row r="194" spans="1:4" x14ac:dyDescent="0.3">
      <c r="A194" s="5">
        <v>45961</v>
      </c>
      <c r="B194">
        <v>2993.0350588389601</v>
      </c>
      <c r="C194">
        <v>255.52863841486351</v>
      </c>
      <c r="D194">
        <v>312.7023019194325</v>
      </c>
    </row>
    <row r="195" spans="1:4" x14ac:dyDescent="0.3">
      <c r="A195" s="5">
        <v>45964</v>
      </c>
      <c r="B195">
        <v>2938.5553566824628</v>
      </c>
      <c r="C195">
        <v>251.3705380269225</v>
      </c>
      <c r="D195">
        <v>306.96803620113542</v>
      </c>
    </row>
    <row r="196" spans="1:4" x14ac:dyDescent="0.3">
      <c r="A196" s="5">
        <v>45965</v>
      </c>
      <c r="B196">
        <v>2942.3618434262612</v>
      </c>
      <c r="C196">
        <v>252.19083508152201</v>
      </c>
      <c r="D196">
        <v>307.32321273685358</v>
      </c>
    </row>
    <row r="197" spans="1:4" x14ac:dyDescent="0.3">
      <c r="A197" s="5">
        <v>45966</v>
      </c>
      <c r="B197">
        <v>2954.847563254888</v>
      </c>
      <c r="C197">
        <v>253.75874763888999</v>
      </c>
      <c r="D197">
        <v>308.58468684579839</v>
      </c>
    </row>
    <row r="198" spans="1:4" x14ac:dyDescent="0.3">
      <c r="A198" s="5">
        <v>45967</v>
      </c>
      <c r="B198">
        <v>2915.648923763024</v>
      </c>
      <c r="C198">
        <v>250.88453510625411</v>
      </c>
      <c r="D198">
        <v>304.44898038824368</v>
      </c>
    </row>
    <row r="199" spans="1:4" x14ac:dyDescent="0.3">
      <c r="A199" s="5">
        <v>45968</v>
      </c>
      <c r="B199">
        <v>2918.6386730124132</v>
      </c>
      <c r="C199">
        <v>251.6353880069972</v>
      </c>
      <c r="D199">
        <v>304.71906907004029</v>
      </c>
    </row>
    <row r="200" spans="1:4" x14ac:dyDescent="0.3">
      <c r="A200" s="5">
        <v>45971</v>
      </c>
      <c r="B200">
        <v>2917.7665874518921</v>
      </c>
      <c r="C200">
        <v>252.0546142096712</v>
      </c>
      <c r="D200">
        <v>304.58594001172082</v>
      </c>
    </row>
    <row r="201" spans="1:4" x14ac:dyDescent="0.3">
      <c r="A201" s="5">
        <v>45972</v>
      </c>
      <c r="B201">
        <v>2868.7397920015669</v>
      </c>
      <c r="C201">
        <v>248.30644059349621</v>
      </c>
      <c r="D201">
        <v>299.42666141426929</v>
      </c>
    </row>
    <row r="202" spans="1:4" x14ac:dyDescent="0.3">
      <c r="A202" s="5">
        <v>45973</v>
      </c>
      <c r="B202">
        <v>2879.814155758871</v>
      </c>
      <c r="C202">
        <v>249.7548960041614</v>
      </c>
      <c r="D202">
        <v>300.5410350728057</v>
      </c>
    </row>
    <row r="203" spans="1:4" x14ac:dyDescent="0.3">
      <c r="A203" s="5">
        <v>45974</v>
      </c>
      <c r="B203">
        <v>2899.075709823067</v>
      </c>
      <c r="C203">
        <v>251.919523990312</v>
      </c>
      <c r="D203">
        <v>302.50940262778698</v>
      </c>
    </row>
    <row r="204" spans="1:4" x14ac:dyDescent="0.3">
      <c r="A204" s="5">
        <v>45975</v>
      </c>
      <c r="B204">
        <v>2939.666396765957</v>
      </c>
      <c r="C204">
        <v>255.94876556332679</v>
      </c>
      <c r="D204">
        <v>306.70254093274559</v>
      </c>
    </row>
    <row r="205" spans="1:4" x14ac:dyDescent="0.3">
      <c r="A205" s="5">
        <v>45978</v>
      </c>
      <c r="B205">
        <v>2979.6173544389198</v>
      </c>
      <c r="C205">
        <v>259.93706315173182</v>
      </c>
      <c r="D205">
        <v>310.82777974831748</v>
      </c>
    </row>
    <row r="206" spans="1:4" x14ac:dyDescent="0.3">
      <c r="A206" s="5">
        <v>45979</v>
      </c>
      <c r="B206">
        <v>2920.0380426790812</v>
      </c>
      <c r="C206">
        <v>255.2401221024657</v>
      </c>
      <c r="D206">
        <v>304.57050672102912</v>
      </c>
    </row>
    <row r="207" spans="1:4" x14ac:dyDescent="0.3">
      <c r="A207" s="5">
        <v>45980</v>
      </c>
      <c r="B207">
        <v>2879.1470028693452</v>
      </c>
      <c r="C207">
        <v>252.16046412739439</v>
      </c>
      <c r="D207">
        <v>300.26394139859059</v>
      </c>
    </row>
    <row r="208" spans="1:4" x14ac:dyDescent="0.3">
      <c r="A208" s="5">
        <v>45981</v>
      </c>
      <c r="B208">
        <v>2896.567016087743</v>
      </c>
      <c r="C208">
        <v>254.18473058577931</v>
      </c>
      <c r="D208">
        <v>302.0389331558664</v>
      </c>
    </row>
    <row r="209" spans="1:4" x14ac:dyDescent="0.3">
      <c r="A209" s="5">
        <v>45982</v>
      </c>
      <c r="B209">
        <v>2914.0419736306621</v>
      </c>
      <c r="C209">
        <v>256.22081101216679</v>
      </c>
      <c r="D209">
        <v>303.81915732839832</v>
      </c>
    </row>
    <row r="210" spans="1:4" x14ac:dyDescent="0.3">
      <c r="A210" s="5">
        <v>45985</v>
      </c>
      <c r="B210">
        <v>2931.673620226788</v>
      </c>
      <c r="C210">
        <v>258.27771713625492</v>
      </c>
      <c r="D210">
        <v>305.61521812541338</v>
      </c>
    </row>
    <row r="211" spans="1:4" x14ac:dyDescent="0.3">
      <c r="A211" s="5">
        <v>45986</v>
      </c>
      <c r="B211">
        <v>3089.0443173832</v>
      </c>
      <c r="C211">
        <v>272.67679479207652</v>
      </c>
      <c r="D211">
        <v>321.97600033727088</v>
      </c>
    </row>
    <row r="212" spans="1:4" x14ac:dyDescent="0.3">
      <c r="A212" s="5">
        <v>45987</v>
      </c>
      <c r="B212">
        <v>3110.1408640557211</v>
      </c>
      <c r="C212">
        <v>275.07861073741611</v>
      </c>
      <c r="D212">
        <v>324.13014746732028</v>
      </c>
    </row>
    <row r="213" spans="1:4" x14ac:dyDescent="0.3">
      <c r="A213" s="5">
        <v>45988</v>
      </c>
      <c r="B213">
        <v>3155.982756324921</v>
      </c>
      <c r="C213">
        <v>279.68173552583391</v>
      </c>
      <c r="D213">
        <v>328.8622275340141</v>
      </c>
    </row>
    <row r="214" spans="1:4" x14ac:dyDescent="0.3">
      <c r="A214" s="5">
        <v>45989</v>
      </c>
      <c r="B214">
        <v>3194.4522088384911</v>
      </c>
      <c r="C214">
        <v>283.64726536067172</v>
      </c>
      <c r="D214">
        <v>332.82487137882799</v>
      </c>
    </row>
    <row r="215" spans="1:4" x14ac:dyDescent="0.3">
      <c r="A215" s="5">
        <v>45992</v>
      </c>
      <c r="B215">
        <v>3219.8588213679609</v>
      </c>
      <c r="C215">
        <v>286.46512480564849</v>
      </c>
      <c r="D215">
        <v>335.42560577358893</v>
      </c>
    </row>
    <row r="216" spans="1:4" x14ac:dyDescent="0.3">
      <c r="A216" s="5">
        <v>45993</v>
      </c>
      <c r="B216">
        <v>3202.279028929107</v>
      </c>
      <c r="C216">
        <v>285.46102433349631</v>
      </c>
      <c r="D216">
        <v>333.54816770088053</v>
      </c>
    </row>
    <row r="217" spans="1:4" x14ac:dyDescent="0.3">
      <c r="A217" s="5">
        <v>45994</v>
      </c>
      <c r="B217">
        <v>3232.563698684542</v>
      </c>
      <c r="C217">
        <v>288.72704203094031</v>
      </c>
      <c r="D217">
        <v>336.65609743857738</v>
      </c>
    </row>
    <row r="218" spans="1:4" x14ac:dyDescent="0.3">
      <c r="A218" s="5">
        <v>45995</v>
      </c>
      <c r="B218">
        <v>3194.592849372656</v>
      </c>
      <c r="C218">
        <v>285.8963472969121</v>
      </c>
      <c r="D218">
        <v>332.65565722232537</v>
      </c>
    </row>
    <row r="219" spans="1:4" x14ac:dyDescent="0.3">
      <c r="A219" s="5">
        <v>45996</v>
      </c>
      <c r="B219">
        <v>3180.607156311341</v>
      </c>
      <c r="C219">
        <v>285.20415266632631</v>
      </c>
      <c r="D219">
        <v>331.15356539215719</v>
      </c>
    </row>
    <row r="220" spans="1:4" x14ac:dyDescent="0.3">
      <c r="A220" s="5">
        <v>45999</v>
      </c>
      <c r="B220">
        <v>3155.7937884220701</v>
      </c>
      <c r="C220">
        <v>283.53531001947641</v>
      </c>
      <c r="D220">
        <v>328.52469871792289</v>
      </c>
    </row>
    <row r="221" spans="1:4" x14ac:dyDescent="0.3">
      <c r="A221" s="5">
        <v>46000</v>
      </c>
      <c r="B221">
        <v>3155.8857133514489</v>
      </c>
      <c r="C221">
        <v>284.10084351809132</v>
      </c>
      <c r="D221">
        <v>328.48888665241901</v>
      </c>
    </row>
    <row r="222" spans="1:4" x14ac:dyDescent="0.3">
      <c r="A222" s="5">
        <v>46001</v>
      </c>
      <c r="B222">
        <v>3255.161212084025</v>
      </c>
      <c r="C222">
        <v>293.61381039227763</v>
      </c>
      <c r="D222">
        <v>338.77544226452119</v>
      </c>
    </row>
    <row r="223" spans="1:4" x14ac:dyDescent="0.3">
      <c r="A223" s="5">
        <v>46002</v>
      </c>
      <c r="B223">
        <v>3168.5003441254762</v>
      </c>
      <c r="C223">
        <v>286.35874956698098</v>
      </c>
      <c r="D223">
        <v>329.71080736106848</v>
      </c>
    </row>
    <row r="224" spans="1:4" x14ac:dyDescent="0.3">
      <c r="A224" s="5">
        <v>46003</v>
      </c>
      <c r="B224">
        <v>3195.2442429177208</v>
      </c>
      <c r="C224">
        <v>289.34333386081289</v>
      </c>
      <c r="D224">
        <v>332.44782071152571</v>
      </c>
    </row>
    <row r="225" spans="1:4" x14ac:dyDescent="0.3">
      <c r="A225" s="5">
        <v>46006</v>
      </c>
      <c r="B225">
        <v>3121.169741495155</v>
      </c>
      <c r="C225">
        <v>283.19105377722212</v>
      </c>
      <c r="D225">
        <v>324.69591325901388</v>
      </c>
    </row>
    <row r="226" spans="1:4" x14ac:dyDescent="0.3">
      <c r="A226" s="5">
        <v>46007</v>
      </c>
      <c r="B226">
        <v>3097.3965851396042</v>
      </c>
      <c r="C226">
        <v>281.58640176669599</v>
      </c>
      <c r="D226">
        <v>322.17827722861949</v>
      </c>
    </row>
    <row r="227" spans="1:4" x14ac:dyDescent="0.3">
      <c r="A227" s="5">
        <v>46008</v>
      </c>
      <c r="B227">
        <v>3141.0208035214218</v>
      </c>
      <c r="C227">
        <v>286.11353110697303</v>
      </c>
      <c r="D227">
        <v>326.67075605780258</v>
      </c>
    </row>
    <row r="228" spans="1:4" x14ac:dyDescent="0.3">
      <c r="A228" s="5">
        <v>46009</v>
      </c>
      <c r="B228">
        <v>3140.3464890972368</v>
      </c>
      <c r="C228">
        <v>286.61431292657272</v>
      </c>
      <c r="D228">
        <v>326.55551183091899</v>
      </c>
    </row>
    <row r="229" spans="1:4" x14ac:dyDescent="0.3">
      <c r="A229" s="5">
        <v>46010</v>
      </c>
      <c r="B229">
        <v>3090.3719677758522</v>
      </c>
      <c r="C229">
        <v>282.60756499645271</v>
      </c>
      <c r="D229">
        <v>321.31441601571288</v>
      </c>
    </row>
    <row r="230" spans="1:4" x14ac:dyDescent="0.3">
      <c r="A230" s="5">
        <v>46013</v>
      </c>
      <c r="B230">
        <v>3056.506947682768</v>
      </c>
      <c r="C230">
        <v>280.06003329991751</v>
      </c>
      <c r="D230">
        <v>317.74947939817071</v>
      </c>
    </row>
    <row r="231" spans="1:4" x14ac:dyDescent="0.3">
      <c r="A231" s="5">
        <v>46014</v>
      </c>
      <c r="B231">
        <v>3082.0209755061578</v>
      </c>
      <c r="C231">
        <v>282.95284197564052</v>
      </c>
      <c r="D231">
        <v>320.35761785156609</v>
      </c>
    </row>
    <row r="232" spans="1:4" x14ac:dyDescent="0.3">
      <c r="A232" s="5">
        <v>46015</v>
      </c>
      <c r="B232">
        <v>3047.611204727019</v>
      </c>
      <c r="C232">
        <v>280.34366927560183</v>
      </c>
      <c r="D232">
        <v>316.73717019753087</v>
      </c>
    </row>
    <row r="233" spans="1:4" x14ac:dyDescent="0.3">
      <c r="A233" s="5">
        <v>46016</v>
      </c>
      <c r="B233">
        <v>3053.3897467669949</v>
      </c>
      <c r="C233">
        <v>281.42725589277683</v>
      </c>
      <c r="D233">
        <v>317.29389703418099</v>
      </c>
    </row>
    <row r="234" spans="1:4" x14ac:dyDescent="0.3">
      <c r="A234" s="5">
        <v>46017</v>
      </c>
      <c r="B234">
        <v>3051.9428621361139</v>
      </c>
      <c r="C234">
        <v>281.84675120796538</v>
      </c>
      <c r="D234">
        <v>317.09973539121069</v>
      </c>
    </row>
    <row r="235" spans="1:4" x14ac:dyDescent="0.3">
      <c r="A235" s="5">
        <v>46020</v>
      </c>
      <c r="B235">
        <v>3021.1650024164601</v>
      </c>
      <c r="C235">
        <v>279.55277079947882</v>
      </c>
      <c r="D235">
        <v>313.85852638555031</v>
      </c>
    </row>
    <row r="236" spans="1:4" x14ac:dyDescent="0.3">
      <c r="A236" s="5">
        <v>46021</v>
      </c>
      <c r="B236">
        <v>3108.838709781372</v>
      </c>
      <c r="C236">
        <v>288.23072117406127</v>
      </c>
      <c r="D236">
        <v>322.92203620732113</v>
      </c>
    </row>
    <row r="237" spans="1:4" x14ac:dyDescent="0.3">
      <c r="A237" s="5">
        <v>46022</v>
      </c>
      <c r="B237">
        <v>3132.8057310176901</v>
      </c>
      <c r="C237">
        <v>291.0236367313961</v>
      </c>
      <c r="D237">
        <v>325.36659406692843</v>
      </c>
    </row>
    <row r="238" spans="1:4" x14ac:dyDescent="0.3">
      <c r="A238" s="5">
        <v>46023</v>
      </c>
      <c r="B238">
        <v>3042.737562332517</v>
      </c>
      <c r="C238">
        <v>283.21223819428411</v>
      </c>
      <c r="D238">
        <v>315.96865214343671</v>
      </c>
    </row>
    <row r="239" spans="1:4" x14ac:dyDescent="0.3">
      <c r="A239" s="5">
        <v>46024</v>
      </c>
      <c r="B239">
        <v>3047.2394964066311</v>
      </c>
      <c r="C239">
        <v>284.18871645622391</v>
      </c>
      <c r="D239">
        <v>316.39243844850489</v>
      </c>
    </row>
    <row r="240" spans="1:4" x14ac:dyDescent="0.3">
      <c r="A240" s="5">
        <v>46027</v>
      </c>
      <c r="B240">
        <v>3016.083269199848</v>
      </c>
      <c r="C240">
        <v>281.83588600403198</v>
      </c>
      <c r="D240">
        <v>313.11425471521022</v>
      </c>
    </row>
    <row r="241" spans="1:4" x14ac:dyDescent="0.3">
      <c r="A241" s="5">
        <v>46028</v>
      </c>
      <c r="B241">
        <v>3048.5532508728729</v>
      </c>
      <c r="C241">
        <v>285.42990316341411</v>
      </c>
      <c r="D241">
        <v>316.44140398563422</v>
      </c>
    </row>
    <row r="242" spans="1:4" x14ac:dyDescent="0.3">
      <c r="A242" s="5">
        <v>46029</v>
      </c>
      <c r="B242">
        <v>3011.92162490793</v>
      </c>
      <c r="C242">
        <v>282.55439878187451</v>
      </c>
      <c r="D242">
        <v>312.59583629326352</v>
      </c>
    </row>
    <row r="243" spans="1:4" x14ac:dyDescent="0.3">
      <c r="A243" s="5">
        <v>46030</v>
      </c>
      <c r="B243">
        <v>3003.813507651781</v>
      </c>
      <c r="C243">
        <v>282.34759541999631</v>
      </c>
      <c r="D243">
        <v>311.71126201901751</v>
      </c>
    </row>
    <row r="244" spans="1:4" x14ac:dyDescent="0.3">
      <c r="A244" s="5">
        <v>46031</v>
      </c>
      <c r="B244">
        <v>3021.567015420545</v>
      </c>
      <c r="C244">
        <v>284.57456451652172</v>
      </c>
      <c r="D244">
        <v>313.51026392583458</v>
      </c>
    </row>
    <row r="245" spans="1:4" x14ac:dyDescent="0.3">
      <c r="A245" s="5">
        <v>46034</v>
      </c>
      <c r="B245">
        <v>3054.6599432872781</v>
      </c>
      <c r="C245">
        <v>288.25671983655218</v>
      </c>
      <c r="D245">
        <v>316.90012303299119</v>
      </c>
    </row>
    <row r="246" spans="1:4" x14ac:dyDescent="0.3">
      <c r="A246" s="5">
        <v>46035</v>
      </c>
      <c r="B246">
        <v>3000.9478533172651</v>
      </c>
      <c r="C246">
        <v>283.74468860838419</v>
      </c>
      <c r="D246">
        <v>311.28485539123437</v>
      </c>
    </row>
    <row r="247" spans="1:4" x14ac:dyDescent="0.3">
      <c r="A247" s="5">
        <v>46036</v>
      </c>
      <c r="B247">
        <v>2983.7679007948191</v>
      </c>
      <c r="C247">
        <v>282.67477220101949</v>
      </c>
      <c r="D247">
        <v>309.46004599984519</v>
      </c>
    </row>
    <row r="248" spans="1:4" x14ac:dyDescent="0.3">
      <c r="A248" s="5">
        <v>46037</v>
      </c>
      <c r="B248">
        <v>2960.917641635062</v>
      </c>
      <c r="C248">
        <v>281.06130756117091</v>
      </c>
      <c r="D248">
        <v>307.04772292666991</v>
      </c>
    </row>
    <row r="249" spans="1:4" x14ac:dyDescent="0.3">
      <c r="A249" s="5">
        <v>46038</v>
      </c>
      <c r="B249">
        <v>2930.9875143384361</v>
      </c>
      <c r="C249">
        <v>278.76704059691428</v>
      </c>
      <c r="D249">
        <v>303.90197813708488</v>
      </c>
    </row>
    <row r="250" spans="1:4" x14ac:dyDescent="0.3">
      <c r="A250" s="5">
        <v>46041</v>
      </c>
      <c r="B250">
        <v>3000.2654180680252</v>
      </c>
      <c r="C250">
        <v>285.91691807125761</v>
      </c>
      <c r="D250">
        <v>311.04214624081908</v>
      </c>
    </row>
    <row r="251" spans="1:4" x14ac:dyDescent="0.3">
      <c r="A251" s="5">
        <v>46042</v>
      </c>
      <c r="B251">
        <v>3013.8180677917371</v>
      </c>
      <c r="C251">
        <v>287.77292509366362</v>
      </c>
      <c r="D251">
        <v>312.40401088153322</v>
      </c>
    </row>
    <row r="252" spans="1:4" x14ac:dyDescent="0.3">
      <c r="A252" s="5">
        <v>46043</v>
      </c>
      <c r="B252">
        <v>2958.3390719148001</v>
      </c>
      <c r="C252">
        <v>283.0307159781384</v>
      </c>
      <c r="D252">
        <v>306.61085311464967</v>
      </c>
    </row>
    <row r="253" spans="1:4" x14ac:dyDescent="0.3">
      <c r="A253" s="5">
        <v>46044</v>
      </c>
      <c r="B253">
        <v>2992.900000000001</v>
      </c>
      <c r="C253">
        <v>286.89999999999998</v>
      </c>
      <c r="D253">
        <v>310.14999999999998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74043-0BBE-4D0F-AE9F-CB6BFE05B3CA}">
  <dimension ref="A1:I254"/>
  <sheetViews>
    <sheetView tabSelected="1" topLeftCell="A40" zoomScale="158" workbookViewId="0">
      <selection activeCell="B13" sqref="B13"/>
    </sheetView>
  </sheetViews>
  <sheetFormatPr defaultRowHeight="14.4" x14ac:dyDescent="0.3"/>
  <cols>
    <col min="1" max="1" width="10.5546875" bestFit="1" customWidth="1"/>
    <col min="2" max="2" width="14" customWidth="1"/>
    <col min="3" max="3" width="16.6640625" customWidth="1"/>
    <col min="4" max="4" width="12.77734375" customWidth="1"/>
    <col min="6" max="6" width="9.5546875" customWidth="1"/>
  </cols>
  <sheetData>
    <row r="1" spans="1:9" x14ac:dyDescent="0.3">
      <c r="A1" t="s">
        <v>1</v>
      </c>
      <c r="B1" t="s">
        <v>5</v>
      </c>
      <c r="C1" t="s">
        <v>6</v>
      </c>
      <c r="D1" t="s">
        <v>7</v>
      </c>
      <c r="F1" s="1" t="s">
        <v>14</v>
      </c>
      <c r="G1" s="1" t="s">
        <v>0</v>
      </c>
      <c r="H1" s="1" t="s">
        <v>9</v>
      </c>
      <c r="I1" s="1" t="s">
        <v>10</v>
      </c>
    </row>
    <row r="2" spans="1:9" x14ac:dyDescent="0.3">
      <c r="A2" s="5">
        <f>Prices!A2</f>
        <v>45693</v>
      </c>
      <c r="B2">
        <f>LN(Prices!B3/Prices!B2)</f>
        <v>-3.0217035051700327E-3</v>
      </c>
      <c r="C2">
        <f>LN(Prices!C3/Prices!C2)</f>
        <v>-1.0582398222967527E-3</v>
      </c>
      <c r="D2">
        <f>LN(Prices!D3/Prices!D2)</f>
        <v>-3.1598467094826849E-3</v>
      </c>
      <c r="F2" s="1" t="s">
        <v>8</v>
      </c>
      <c r="G2" s="1">
        <f>AVERAGE(B:B)</f>
        <v>-9.6191597952726847E-4</v>
      </c>
      <c r="H2" s="1">
        <f>AVERAGE(C:C)</f>
        <v>3.6445193147087906E-4</v>
      </c>
      <c r="I2" s="1">
        <f>AVERAGE(D:D)</f>
        <v>-1.2345574215655692E-3</v>
      </c>
    </row>
    <row r="3" spans="1:9" x14ac:dyDescent="0.3">
      <c r="A3" s="5">
        <f>Prices!A3</f>
        <v>45694</v>
      </c>
      <c r="B3">
        <f>LN(Prices!B4/Prices!B3)</f>
        <v>7.8705790206985617E-3</v>
      </c>
      <c r="C3">
        <f>LN(Prices!C4/Prices!C3)</f>
        <v>9.8340427035716726E-3</v>
      </c>
      <c r="D3">
        <f>LN(Prices!D4/Prices!D3)</f>
        <v>7.732435816385835E-3</v>
      </c>
      <c r="F3" s="1" t="s">
        <v>11</v>
      </c>
      <c r="G3" s="1">
        <f>_xlfn.STDEV.P(B:B)</f>
        <v>1.3831211016996116E-2</v>
      </c>
      <c r="H3" s="1">
        <f>_xlfn.STDEV.P(C:C)</f>
        <v>1.4890328893858823E-2</v>
      </c>
      <c r="I3" s="1">
        <f>_xlfn.STDEV.P(D:D)</f>
        <v>1.3444593123754931E-2</v>
      </c>
    </row>
    <row r="4" spans="1:9" x14ac:dyDescent="0.3">
      <c r="A4" s="5">
        <f>Prices!A4</f>
        <v>45695</v>
      </c>
      <c r="B4">
        <f>LN(Prices!B5/Prices!B4)</f>
        <v>2.0001669423530231E-2</v>
      </c>
      <c r="C4">
        <f>LN(Prices!C5/Prices!C4)</f>
        <v>2.1965133106402877E-2</v>
      </c>
      <c r="D4">
        <f>LN(Prices!D5/Prices!D4)</f>
        <v>1.9863526219217408E-2</v>
      </c>
      <c r="F4" s="1" t="s">
        <v>12</v>
      </c>
      <c r="G4" s="1">
        <f>SKEW(B:B)</f>
        <v>0.49894510158861755</v>
      </c>
      <c r="H4" s="1">
        <f>SKEW(C:C)</f>
        <v>-1.0627166026592429</v>
      </c>
      <c r="I4" s="1">
        <f>SKEW(D:D)</f>
        <v>0.30162581666593496</v>
      </c>
    </row>
    <row r="5" spans="1:9" x14ac:dyDescent="0.3">
      <c r="A5" s="5">
        <f>Prices!A5</f>
        <v>45698</v>
      </c>
      <c r="B5">
        <f>LN(Prices!B6/Prices!B5)</f>
        <v>-4.350601154094285E-3</v>
      </c>
      <c r="C5">
        <f>LN(Prices!C6/Prices!C5)</f>
        <v>-2.3871374712209062E-3</v>
      </c>
      <c r="D5">
        <f>LN(Prices!D6/Prices!D5)</f>
        <v>-4.4887443584067212E-3</v>
      </c>
      <c r="F5" s="1" t="s">
        <v>13</v>
      </c>
      <c r="G5" s="1">
        <f>KURT(B:B)</f>
        <v>1.2390368466646837</v>
      </c>
      <c r="H5" s="1">
        <f>KURT(C:C)</f>
        <v>8.9432903631631842</v>
      </c>
      <c r="I5" s="1">
        <f>KURT(D:D)</f>
        <v>0.56845538926051598</v>
      </c>
    </row>
    <row r="6" spans="1:9" x14ac:dyDescent="0.3">
      <c r="A6" s="5">
        <f>Prices!A6</f>
        <v>45699</v>
      </c>
      <c r="B6">
        <f>LN(Prices!B7/Prices!B6)</f>
        <v>-4.3503736251311589E-3</v>
      </c>
      <c r="C6">
        <f>LN(Prices!C7/Prices!C6)</f>
        <v>-2.3869099422580893E-3</v>
      </c>
      <c r="D6">
        <f>LN(Prices!D7/Prices!D6)</f>
        <v>-4.4885168294439247E-3</v>
      </c>
    </row>
    <row r="7" spans="1:9" x14ac:dyDescent="0.3">
      <c r="A7" s="5">
        <f>Prices!A7</f>
        <v>45700</v>
      </c>
      <c r="B7">
        <f>LN(Prices!B8/Prices!B7)</f>
        <v>2.0780292049560195E-2</v>
      </c>
      <c r="C7">
        <f>LN(Prices!C8/Prices!C7)</f>
        <v>2.2743755732433014E-2</v>
      </c>
      <c r="D7">
        <f>LN(Prices!D8/Prices!D7)</f>
        <v>2.0642148845247548E-2</v>
      </c>
    </row>
    <row r="8" spans="1:9" x14ac:dyDescent="0.3">
      <c r="A8" s="5">
        <f>Prices!A8</f>
        <v>45701</v>
      </c>
      <c r="B8">
        <f>LN(Prices!B9/Prices!B8)</f>
        <v>9.5301052405487603E-3</v>
      </c>
      <c r="C8">
        <f>LN(Prices!C9/Prices!C8)</f>
        <v>1.149356892342201E-2</v>
      </c>
      <c r="D8">
        <f>LN(Prices!D9/Prices!D8)</f>
        <v>9.3919620362360942E-3</v>
      </c>
    </row>
    <row r="9" spans="1:9" x14ac:dyDescent="0.3">
      <c r="A9" s="5">
        <f>Prices!A9</f>
        <v>45702</v>
      </c>
      <c r="B9">
        <f>LN(Prices!B10/Prices!B9)</f>
        <v>-7.6118438270828025E-3</v>
      </c>
      <c r="C9">
        <f>LN(Prices!C10/Prices!C9)</f>
        <v>-5.6483801442101496E-3</v>
      </c>
      <c r="D9">
        <f>LN(Prices!D10/Prices!D9)</f>
        <v>-7.7499870313955362E-3</v>
      </c>
    </row>
    <row r="10" spans="1:9" x14ac:dyDescent="0.3">
      <c r="A10" s="5">
        <f>Prices!A10</f>
        <v>45705</v>
      </c>
      <c r="B10">
        <f>LN(Prices!B11/Prices!B10)</f>
        <v>6.4136350330229602E-3</v>
      </c>
      <c r="C10">
        <f>LN(Prices!C11/Prices!C10)</f>
        <v>8.3770987158959739E-3</v>
      </c>
      <c r="D10">
        <f>LN(Prices!D11/Prices!D10)</f>
        <v>6.2754918287100669E-3</v>
      </c>
    </row>
    <row r="11" spans="1:9" x14ac:dyDescent="0.3">
      <c r="A11" s="5">
        <f>Prices!A11</f>
        <v>45706</v>
      </c>
      <c r="B11">
        <f>LN(Prices!B12/Prices!B11)</f>
        <v>-7.5279059501946102E-3</v>
      </c>
      <c r="C11">
        <f>LN(Prices!C12/Prices!C11)</f>
        <v>-5.5644422673216728E-3</v>
      </c>
      <c r="D11">
        <f>LN(Prices!D12/Prices!D11)</f>
        <v>-7.6660491545071175E-3</v>
      </c>
    </row>
    <row r="12" spans="1:9" x14ac:dyDescent="0.3">
      <c r="A12" s="5">
        <f>Prices!A12</f>
        <v>45707</v>
      </c>
      <c r="B12">
        <f>LN(Prices!B13/Prices!B12)</f>
        <v>-7.559948100477434E-3</v>
      </c>
      <c r="C12">
        <f>LN(Prices!C13/Prices!C12)</f>
        <v>-5.5964844176040933E-3</v>
      </c>
      <c r="D12">
        <f>LN(Prices!D13/Prices!D12)</f>
        <v>-7.6980913047900038E-3</v>
      </c>
    </row>
    <row r="13" spans="1:9" x14ac:dyDescent="0.3">
      <c r="A13" s="5">
        <f>Prices!A13</f>
        <v>45708</v>
      </c>
      <c r="B13">
        <f>LN(Prices!B14/Prices!B13)</f>
        <v>2.2477414884167651E-3</v>
      </c>
      <c r="C13">
        <f>LN(Prices!C14/Prices!C13)</f>
        <v>4.2112051712901106E-3</v>
      </c>
      <c r="D13">
        <f>LN(Prices!D14/Prices!D13)</f>
        <v>2.1095982841041697E-3</v>
      </c>
    </row>
    <row r="14" spans="1:9" x14ac:dyDescent="0.3">
      <c r="A14" s="5">
        <f>Prices!A14</f>
        <v>45709</v>
      </c>
      <c r="B14">
        <f>LN(Prices!B15/Prices!B14)</f>
        <v>-2.7621112246142696E-2</v>
      </c>
      <c r="C14">
        <f>LN(Prices!C15/Prices!C14)</f>
        <v>-2.5657648563269873E-2</v>
      </c>
      <c r="D14">
        <f>LN(Prices!D15/Prices!D14)</f>
        <v>-2.7759255450455364E-2</v>
      </c>
    </row>
    <row r="15" spans="1:9" x14ac:dyDescent="0.3">
      <c r="A15" s="5">
        <f>Prices!A15</f>
        <v>45712</v>
      </c>
      <c r="B15">
        <f>LN(Prices!B16/Prices!B15)</f>
        <v>-2.501065458530443E-2</v>
      </c>
      <c r="C15">
        <f>LN(Prices!C16/Prices!C15)</f>
        <v>-2.3047190902431222E-2</v>
      </c>
      <c r="D15">
        <f>LN(Prices!D16/Prices!D15)</f>
        <v>-2.5148797789616942E-2</v>
      </c>
    </row>
    <row r="16" spans="1:9" x14ac:dyDescent="0.3">
      <c r="A16" s="5">
        <f>Prices!A16</f>
        <v>45713</v>
      </c>
      <c r="B16">
        <f>LN(Prices!B17/Prices!B16)</f>
        <v>-8.8981130896755838E-3</v>
      </c>
      <c r="C16">
        <f>LN(Prices!C17/Prices!C16)</f>
        <v>-6.9346494068032866E-3</v>
      </c>
      <c r="D16">
        <f>LN(Prices!D17/Prices!D16)</f>
        <v>-9.0362562939884563E-3</v>
      </c>
    </row>
    <row r="17" spans="1:4" x14ac:dyDescent="0.3">
      <c r="A17" s="5">
        <f>Prices!A17</f>
        <v>45714</v>
      </c>
      <c r="B17">
        <f>LN(Prices!B18/Prices!B17)</f>
        <v>-1.5142060358770993E-2</v>
      </c>
      <c r="C17">
        <f>LN(Prices!C18/Prices!C17)</f>
        <v>-1.31785966758977E-2</v>
      </c>
      <c r="D17">
        <f>LN(Prices!D18/Prices!D17)</f>
        <v>-1.5280203563083815E-2</v>
      </c>
    </row>
    <row r="18" spans="1:4" x14ac:dyDescent="0.3">
      <c r="A18" s="5">
        <f>Prices!A18</f>
        <v>45715</v>
      </c>
      <c r="B18">
        <f>LN(Prices!B19/Prices!B18)</f>
        <v>3.2495182716899495E-3</v>
      </c>
      <c r="C18">
        <f>LN(Prices!C19/Prices!C18)</f>
        <v>5.2129819545628578E-3</v>
      </c>
      <c r="D18">
        <f>LN(Prices!D19/Prices!D18)</f>
        <v>3.1113750673774448E-3</v>
      </c>
    </row>
    <row r="19" spans="1:4" x14ac:dyDescent="0.3">
      <c r="A19" s="5">
        <f>Prices!A19</f>
        <v>45716</v>
      </c>
      <c r="B19">
        <f>LN(Prices!B20/Prices!B19)</f>
        <v>-1.368957124521991E-2</v>
      </c>
      <c r="C19">
        <f>LN(Prices!C20/Prices!C19)</f>
        <v>-1.1726107562346585E-2</v>
      </c>
      <c r="D19">
        <f>LN(Prices!D20/Prices!D19)</f>
        <v>-1.3827714449532459E-2</v>
      </c>
    </row>
    <row r="20" spans="1:4" x14ac:dyDescent="0.3">
      <c r="A20" s="5">
        <f>Prices!A20</f>
        <v>45719</v>
      </c>
      <c r="B20">
        <f>LN(Prices!B21/Prices!B20)</f>
        <v>-2.0678229955957389E-2</v>
      </c>
      <c r="C20">
        <f>LN(Prices!C21/Prices!C20)</f>
        <v>-1.8714766273084441E-2</v>
      </c>
      <c r="D20">
        <f>LN(Prices!D21/Prices!D20)</f>
        <v>-2.081637316027014E-2</v>
      </c>
    </row>
    <row r="21" spans="1:4" x14ac:dyDescent="0.3">
      <c r="A21" s="5">
        <f>Prices!A21</f>
        <v>45720</v>
      </c>
      <c r="B21">
        <f>LN(Prices!B22/Prices!B21)</f>
        <v>1.9206442298804551E-2</v>
      </c>
      <c r="C21">
        <f>LN(Prices!C22/Prices!C21)</f>
        <v>2.1169905981677752E-2</v>
      </c>
      <c r="D21">
        <f>LN(Prices!D22/Prices!D21)</f>
        <v>1.9068299094492022E-2</v>
      </c>
    </row>
    <row r="22" spans="1:4" x14ac:dyDescent="0.3">
      <c r="A22" s="5">
        <f>Prices!A22</f>
        <v>45721</v>
      </c>
      <c r="B22">
        <f>LN(Prices!B23/Prices!B22)</f>
        <v>-4.2345058176212107E-3</v>
      </c>
      <c r="C22">
        <f>LN(Prices!C23/Prices!C22)</f>
        <v>-2.2710421347482261E-3</v>
      </c>
      <c r="D22">
        <f>LN(Prices!D23/Prices!D22)</f>
        <v>-4.3726490219335714E-3</v>
      </c>
    </row>
    <row r="23" spans="1:4" x14ac:dyDescent="0.3">
      <c r="A23" s="5">
        <f>Prices!A23</f>
        <v>45722</v>
      </c>
      <c r="B23">
        <f>LN(Prices!B24/Prices!B23)</f>
        <v>-1.6968745087264753E-4</v>
      </c>
      <c r="C23">
        <f>LN(Prices!C24/Prices!C23)</f>
        <v>1.7937762320003033E-3</v>
      </c>
      <c r="D23">
        <f>LN(Prices!D24/Prices!D23)</f>
        <v>-3.0783065518550707E-4</v>
      </c>
    </row>
    <row r="24" spans="1:4" x14ac:dyDescent="0.3">
      <c r="A24" s="5">
        <f>Prices!A24</f>
        <v>45723</v>
      </c>
      <c r="B24">
        <f>LN(Prices!B25/Prices!B24)</f>
        <v>-2.0850694305481792E-2</v>
      </c>
      <c r="C24">
        <f>LN(Prices!C25/Prices!C24)</f>
        <v>-1.8887230622608546E-2</v>
      </c>
      <c r="D24">
        <f>LN(Prices!D25/Prices!D24)</f>
        <v>-2.0988837509794193E-2</v>
      </c>
    </row>
    <row r="25" spans="1:4" x14ac:dyDescent="0.3">
      <c r="A25" s="5">
        <f>Prices!A25</f>
        <v>45726</v>
      </c>
      <c r="B25">
        <f>LN(Prices!B26/Prices!B25)</f>
        <v>-8.6499758201219711E-3</v>
      </c>
      <c r="C25">
        <f>LN(Prices!C26/Prices!C25)</f>
        <v>-6.6865121372492071E-3</v>
      </c>
      <c r="D25">
        <f>LN(Prices!D26/Prices!D25)</f>
        <v>-8.7881190244349788E-3</v>
      </c>
    </row>
    <row r="26" spans="1:4" x14ac:dyDescent="0.3">
      <c r="A26" s="5">
        <f>Prices!A26</f>
        <v>45727</v>
      </c>
      <c r="B26">
        <f>LN(Prices!B27/Prices!B26)</f>
        <v>4.3170219756081337E-4</v>
      </c>
      <c r="C26">
        <f>LN(Prices!C27/Prices!C26)</f>
        <v>2.3951658804344509E-3</v>
      </c>
      <c r="D26">
        <f>LN(Prices!D27/Prices!D26)</f>
        <v>2.9355899324866238E-4</v>
      </c>
    </row>
    <row r="27" spans="1:4" x14ac:dyDescent="0.3">
      <c r="A27" s="5">
        <f>Prices!A27</f>
        <v>45728</v>
      </c>
      <c r="B27">
        <f>LN(Prices!B28/Prices!B27)</f>
        <v>-1.7056812035809762E-2</v>
      </c>
      <c r="C27">
        <f>LN(Prices!C28/Prices!C27)</f>
        <v>-1.5093348352937052E-2</v>
      </c>
      <c r="D27">
        <f>LN(Prices!D28/Prices!D27)</f>
        <v>-1.7194955240122475E-2</v>
      </c>
    </row>
    <row r="28" spans="1:4" x14ac:dyDescent="0.3">
      <c r="A28" s="5">
        <f>Prices!A28</f>
        <v>45729</v>
      </c>
      <c r="B28">
        <f>LN(Prices!B29/Prices!B28)</f>
        <v>4.1011447270657307E-3</v>
      </c>
      <c r="C28">
        <f>LN(Prices!C29/Prices!C28)</f>
        <v>6.0646084099387747E-3</v>
      </c>
      <c r="D28">
        <f>LN(Prices!D29/Prices!D28)</f>
        <v>3.9630015227529094E-3</v>
      </c>
    </row>
    <row r="29" spans="1:4" x14ac:dyDescent="0.3">
      <c r="A29" s="5">
        <f>Prices!A29</f>
        <v>45730</v>
      </c>
      <c r="B29">
        <f>LN(Prices!B30/Prices!B29)</f>
        <v>-9.4296102182883056E-3</v>
      </c>
      <c r="C29">
        <f>LN(Prices!C30/Prices!C29)</f>
        <v>-7.4661465354155087E-3</v>
      </c>
      <c r="D29">
        <f>LN(Prices!D30/Prices!D29)</f>
        <v>-9.5677534226011728E-3</v>
      </c>
    </row>
    <row r="30" spans="1:4" x14ac:dyDescent="0.3">
      <c r="A30" s="5">
        <f>Prices!A30</f>
        <v>45733</v>
      </c>
      <c r="B30">
        <f>LN(Prices!B31/Prices!B30)</f>
        <v>-5.1480357972300784E-3</v>
      </c>
      <c r="C30">
        <f>LN(Prices!C31/Prices!C30)</f>
        <v>-3.1845721143568236E-3</v>
      </c>
      <c r="D30">
        <f>LN(Prices!D31/Prices!D30)</f>
        <v>-5.2861790015424912E-3</v>
      </c>
    </row>
    <row r="31" spans="1:4" x14ac:dyDescent="0.3">
      <c r="A31" s="5">
        <f>Prices!A31</f>
        <v>45734</v>
      </c>
      <c r="B31">
        <f>LN(Prices!B32/Prices!B31)</f>
        <v>-9.444410230377424E-3</v>
      </c>
      <c r="C31">
        <f>LN(Prices!C32/Prices!C31)</f>
        <v>-7.4809465475044129E-3</v>
      </c>
      <c r="D31">
        <f>LN(Prices!D32/Prices!D31)</f>
        <v>-9.5825534346902826E-3</v>
      </c>
    </row>
    <row r="32" spans="1:4" x14ac:dyDescent="0.3">
      <c r="A32" s="5">
        <f>Prices!A32</f>
        <v>45735</v>
      </c>
      <c r="B32">
        <f>LN(Prices!B33/Prices!B32)</f>
        <v>2.4564622353590873E-2</v>
      </c>
      <c r="C32">
        <f>LN(Prices!C33/Prices!C32)</f>
        <v>2.6528086036463779E-2</v>
      </c>
      <c r="D32">
        <f>LN(Prices!D33/Prices!D32)</f>
        <v>2.442647914927825E-2</v>
      </c>
    </row>
    <row r="33" spans="1:4" x14ac:dyDescent="0.3">
      <c r="A33" s="5">
        <f>Prices!A33</f>
        <v>45736</v>
      </c>
      <c r="B33">
        <f>LN(Prices!B34/Prices!B33)</f>
        <v>-1.292594354426826E-3</v>
      </c>
      <c r="C33">
        <f>LN(Prices!C34/Prices!C33)</f>
        <v>6.7086932844638179E-4</v>
      </c>
      <c r="D33">
        <f>LN(Prices!D34/Prices!D33)</f>
        <v>-1.4307375587392379E-3</v>
      </c>
    </row>
    <row r="34" spans="1:4" x14ac:dyDescent="0.3">
      <c r="A34" s="5">
        <f>Prices!A34</f>
        <v>45737</v>
      </c>
      <c r="B34">
        <f>LN(Prices!B35/Prices!B34)</f>
        <v>-1.5764036043297937E-2</v>
      </c>
      <c r="C34">
        <f>LN(Prices!C35/Prices!C34)</f>
        <v>-1.3800572360425083E-2</v>
      </c>
      <c r="D34">
        <f>LN(Prices!D35/Prices!D34)</f>
        <v>-1.5902179247610355E-2</v>
      </c>
    </row>
    <row r="35" spans="1:4" x14ac:dyDescent="0.3">
      <c r="A35" s="5">
        <f>Prices!A35</f>
        <v>45740</v>
      </c>
      <c r="B35">
        <f>LN(Prices!B36/Prices!B35)</f>
        <v>1.029386058661092E-2</v>
      </c>
      <c r="C35">
        <f>LN(Prices!C36/Prices!C35)</f>
        <v>1.2257324269484103E-2</v>
      </c>
      <c r="D35">
        <f>LN(Prices!D36/Prices!D35)</f>
        <v>1.0155717382298167E-2</v>
      </c>
    </row>
    <row r="36" spans="1:4" x14ac:dyDescent="0.3">
      <c r="A36" s="5">
        <f>Prices!A36</f>
        <v>45741</v>
      </c>
      <c r="B36">
        <f>LN(Prices!B37/Prices!B36)</f>
        <v>-1.8024843050695794E-2</v>
      </c>
      <c r="C36">
        <f>LN(Prices!C37/Prices!C36)</f>
        <v>-1.6061379367822905E-2</v>
      </c>
      <c r="D36">
        <f>LN(Prices!D37/Prices!D36)</f>
        <v>-1.8162986255008753E-2</v>
      </c>
    </row>
    <row r="37" spans="1:4" x14ac:dyDescent="0.3">
      <c r="A37" s="5">
        <f>Prices!A37</f>
        <v>45742</v>
      </c>
      <c r="B37">
        <f>LN(Prices!B38/Prices!B37)</f>
        <v>1.7890369474778734E-3</v>
      </c>
      <c r="C37">
        <f>LN(Prices!C38/Prices!C37)</f>
        <v>3.7525006303505463E-3</v>
      </c>
      <c r="D37">
        <f>LN(Prices!D38/Prices!D37)</f>
        <v>1.6508937431652052E-3</v>
      </c>
    </row>
    <row r="38" spans="1:4" x14ac:dyDescent="0.3">
      <c r="A38" s="5">
        <f>Prices!A38</f>
        <v>45743</v>
      </c>
      <c r="B38">
        <f>LN(Prices!B39/Prices!B38)</f>
        <v>-2.8264015542089897E-2</v>
      </c>
      <c r="C38">
        <f>LN(Prices!C39/Prices!C38)</f>
        <v>-2.6300551859216335E-2</v>
      </c>
      <c r="D38">
        <f>LN(Prices!D39/Prices!D38)</f>
        <v>-2.8402158746402208E-2</v>
      </c>
    </row>
    <row r="39" spans="1:4" x14ac:dyDescent="0.3">
      <c r="A39" s="5">
        <f>Prices!A39</f>
        <v>45744</v>
      </c>
      <c r="B39">
        <f>LN(Prices!B40/Prices!B39)</f>
        <v>-1.9512468869574549E-2</v>
      </c>
      <c r="C39">
        <f>LN(Prices!C40/Prices!C39)</f>
        <v>-1.7549005186701785E-2</v>
      </c>
      <c r="D39">
        <f>LN(Prices!D40/Prices!D39)</f>
        <v>-1.9650612073887679E-2</v>
      </c>
    </row>
    <row r="40" spans="1:4" x14ac:dyDescent="0.3">
      <c r="A40" s="5">
        <f>Prices!A40</f>
        <v>45747</v>
      </c>
      <c r="B40">
        <f>LN(Prices!B41/Prices!B40)</f>
        <v>1.6226998848070876E-3</v>
      </c>
      <c r="C40">
        <f>LN(Prices!C41/Prices!C40)</f>
        <v>3.586163567680102E-3</v>
      </c>
      <c r="D40">
        <f>LN(Prices!D41/Prices!D40)</f>
        <v>1.4845566804947803E-3</v>
      </c>
    </row>
    <row r="41" spans="1:4" x14ac:dyDescent="0.3">
      <c r="A41" s="5">
        <f>Prices!A41</f>
        <v>45748</v>
      </c>
      <c r="B41">
        <f>LN(Prices!B42/Prices!B41)</f>
        <v>9.1286444287683871E-3</v>
      </c>
      <c r="C41">
        <f>LN(Prices!C42/Prices!C41)</f>
        <v>1.1092108111641704E-2</v>
      </c>
      <c r="D41">
        <f>LN(Prices!D42/Prices!D41)</f>
        <v>8.9905012244557801E-3</v>
      </c>
    </row>
    <row r="42" spans="1:4" x14ac:dyDescent="0.3">
      <c r="A42" s="5">
        <f>Prices!A42</f>
        <v>45749</v>
      </c>
      <c r="B42">
        <f>LN(Prices!B43/Prices!B42)</f>
        <v>1.2694007415129519E-3</v>
      </c>
      <c r="C42">
        <f>LN(Prices!C43/Prices!C42)</f>
        <v>3.2328644243858856E-3</v>
      </c>
      <c r="D42">
        <f>LN(Prices!D43/Prices!D42)</f>
        <v>1.1312575372003301E-3</v>
      </c>
    </row>
    <row r="43" spans="1:4" x14ac:dyDescent="0.3">
      <c r="A43" s="5">
        <f>Prices!A43</f>
        <v>45750</v>
      </c>
      <c r="B43">
        <f>LN(Prices!B44/Prices!B43)</f>
        <v>-2.7082749457383675E-3</v>
      </c>
      <c r="C43">
        <f>LN(Prices!C44/Prices!C43)</f>
        <v>-7.4481126286534002E-4</v>
      </c>
      <c r="D43">
        <f>LN(Prices!D44/Prices!D43)</f>
        <v>-2.8464181500511086E-3</v>
      </c>
    </row>
    <row r="44" spans="1:4" x14ac:dyDescent="0.3">
      <c r="A44" s="5">
        <f>Prices!A44</f>
        <v>45751</v>
      </c>
      <c r="B44">
        <f>LN(Prices!B45/Prices!B44)</f>
        <v>-5.2784453880373129E-3</v>
      </c>
      <c r="C44">
        <f>LN(Prices!C45/Prices!C44)</f>
        <v>-3.314981705164467E-3</v>
      </c>
      <c r="D44">
        <f>LN(Prices!D45/Prices!D44)</f>
        <v>-5.4165885923497924E-3</v>
      </c>
    </row>
    <row r="45" spans="1:4" x14ac:dyDescent="0.3">
      <c r="A45" s="5">
        <f>Prices!A45</f>
        <v>45754</v>
      </c>
      <c r="B45">
        <f>LN(Prices!B46/Prices!B45)</f>
        <v>-2.1595929182269595E-2</v>
      </c>
      <c r="C45">
        <f>LN(Prices!C46/Prices!C45)</f>
        <v>-1.9632465499396248E-2</v>
      </c>
      <c r="D45">
        <f>LN(Prices!D46/Prices!D45)</f>
        <v>-2.1734072386582197E-2</v>
      </c>
    </row>
    <row r="46" spans="1:4" x14ac:dyDescent="0.3">
      <c r="A46" s="5">
        <f>Prices!A46</f>
        <v>45755</v>
      </c>
      <c r="B46">
        <f>LN(Prices!B47/Prices!B46)</f>
        <v>-1.1081643420541231E-2</v>
      </c>
      <c r="C46">
        <f>LN(Prices!C47/Prices!C46)</f>
        <v>-9.1181797376682985E-3</v>
      </c>
      <c r="D46">
        <f>LN(Prices!D47/Prices!D46)</f>
        <v>-1.1219786624853895E-2</v>
      </c>
    </row>
    <row r="47" spans="1:4" x14ac:dyDescent="0.3">
      <c r="A47" s="5">
        <f>Prices!A47</f>
        <v>45756</v>
      </c>
      <c r="B47">
        <f>LN(Prices!B48/Prices!B47)</f>
        <v>-7.4893937132969731E-3</v>
      </c>
      <c r="C47">
        <f>LN(Prices!C48/Prices!C47)</f>
        <v>-5.5259300304234876E-3</v>
      </c>
      <c r="D47">
        <f>LN(Prices!D48/Prices!D47)</f>
        <v>-7.6275369176096192E-3</v>
      </c>
    </row>
    <row r="48" spans="1:4" x14ac:dyDescent="0.3">
      <c r="A48" s="5">
        <f>Prices!A48</f>
        <v>45757</v>
      </c>
      <c r="B48">
        <f>LN(Prices!B49/Prices!B48)</f>
        <v>1.3544796586632182E-2</v>
      </c>
      <c r="C48">
        <f>LN(Prices!C49/Prices!C48)</f>
        <v>1.5508260269504527E-2</v>
      </c>
      <c r="D48">
        <f>LN(Prices!D49/Prices!D48)</f>
        <v>1.3406653382319587E-2</v>
      </c>
    </row>
    <row r="49" spans="1:4" x14ac:dyDescent="0.3">
      <c r="A49" s="5">
        <f>Prices!A49</f>
        <v>45758</v>
      </c>
      <c r="B49">
        <f>LN(Prices!B50/Prices!B49)</f>
        <v>3.6565614750752834E-3</v>
      </c>
      <c r="C49">
        <f>LN(Prices!C50/Prices!C49)</f>
        <v>5.6200251579485994E-3</v>
      </c>
      <c r="D49">
        <f>LN(Prices!D50/Prices!D49)</f>
        <v>3.5184182707624547E-3</v>
      </c>
    </row>
    <row r="50" spans="1:4" x14ac:dyDescent="0.3">
      <c r="A50" s="5">
        <f>Prices!A50</f>
        <v>45761</v>
      </c>
      <c r="B50">
        <f>LN(Prices!B51/Prices!B50)</f>
        <v>-2.5538980319716069E-2</v>
      </c>
      <c r="C50">
        <f>LN(Prices!C51/Prices!C50)</f>
        <v>-2.3575516636843295E-2</v>
      </c>
      <c r="D50">
        <f>LN(Prices!D51/Prices!D50)</f>
        <v>-2.5677123524028928E-2</v>
      </c>
    </row>
    <row r="51" spans="1:4" x14ac:dyDescent="0.3">
      <c r="A51" s="5">
        <f>Prices!A51</f>
        <v>45762</v>
      </c>
      <c r="B51">
        <f>LN(Prices!B52/Prices!B51)</f>
        <v>3.3858412439736348E-3</v>
      </c>
      <c r="C51">
        <f>LN(Prices!C52/Prices!C51)</f>
        <v>5.3493049268468216E-3</v>
      </c>
      <c r="D51">
        <f>LN(Prices!D52/Prices!D51)</f>
        <v>3.2476980396614033E-3</v>
      </c>
    </row>
    <row r="52" spans="1:4" x14ac:dyDescent="0.3">
      <c r="A52" s="5">
        <f>Prices!A52</f>
        <v>45763</v>
      </c>
      <c r="B52">
        <f>LN(Prices!B53/Prices!B52)</f>
        <v>-6.4422791785047643E-3</v>
      </c>
      <c r="C52">
        <f>LN(Prices!C53/Prices!C52)</f>
        <v>-4.4788154956314167E-3</v>
      </c>
      <c r="D52">
        <f>LN(Prices!D53/Prices!D52)</f>
        <v>-6.5804223828175622E-3</v>
      </c>
    </row>
    <row r="53" spans="1:4" x14ac:dyDescent="0.3">
      <c r="A53" s="5">
        <f>Prices!A53</f>
        <v>45764</v>
      </c>
      <c r="B53">
        <f>LN(Prices!B54/Prices!B53)</f>
        <v>-1.0486797529317332E-2</v>
      </c>
      <c r="C53">
        <f>LN(Prices!C54/Prices!C53)</f>
        <v>-8.5233338464447157E-3</v>
      </c>
      <c r="D53">
        <f>LN(Prices!D54/Prices!D53)</f>
        <v>-1.0624940733629885E-2</v>
      </c>
    </row>
    <row r="54" spans="1:4" x14ac:dyDescent="0.3">
      <c r="A54" s="5">
        <f>Prices!A54</f>
        <v>45765</v>
      </c>
      <c r="B54">
        <f>LN(Prices!B55/Prices!B54)</f>
        <v>7.37149615754193E-3</v>
      </c>
      <c r="C54">
        <f>LN(Prices!C55/Prices!C54)</f>
        <v>9.3349598404148058E-3</v>
      </c>
      <c r="D54">
        <f>LN(Prices!D55/Prices!D54)</f>
        <v>7.2333529532289595E-3</v>
      </c>
    </row>
    <row r="55" spans="1:4" x14ac:dyDescent="0.3">
      <c r="A55" s="5">
        <f>Prices!A55</f>
        <v>45768</v>
      </c>
      <c r="B55">
        <f>LN(Prices!B56/Prices!B55)</f>
        <v>1.3182769941936876E-2</v>
      </c>
      <c r="C55">
        <f>LN(Prices!C56/Prices!C55)</f>
        <v>1.5146233624810282E-2</v>
      </c>
      <c r="D55">
        <f>LN(Prices!D56/Prices!D55)</f>
        <v>1.3044626737624581E-2</v>
      </c>
    </row>
    <row r="56" spans="1:4" x14ac:dyDescent="0.3">
      <c r="A56" s="5">
        <f>Prices!A56</f>
        <v>45769</v>
      </c>
      <c r="B56">
        <f>LN(Prices!B57/Prices!B56)</f>
        <v>1.1800788911205761E-2</v>
      </c>
      <c r="C56">
        <f>LN(Prices!C57/Prices!C56)</f>
        <v>1.376425259407881E-2</v>
      </c>
      <c r="D56">
        <f>LN(Prices!D57/Prices!D56)</f>
        <v>1.1662645706893134E-2</v>
      </c>
    </row>
    <row r="57" spans="1:4" x14ac:dyDescent="0.3">
      <c r="A57" s="5">
        <f>Prices!A57</f>
        <v>45770</v>
      </c>
      <c r="B57">
        <f>LN(Prices!B58/Prices!B57)</f>
        <v>-1.2736002061652357E-2</v>
      </c>
      <c r="C57">
        <f>LN(Prices!C58/Prices!C57)</f>
        <v>-1.0772538378779862E-2</v>
      </c>
      <c r="D57">
        <f>LN(Prices!D58/Prices!D57)</f>
        <v>-1.2874145265965205E-2</v>
      </c>
    </row>
    <row r="58" spans="1:4" x14ac:dyDescent="0.3">
      <c r="A58" s="5">
        <f>Prices!A58</f>
        <v>45771</v>
      </c>
      <c r="B58">
        <f>LN(Prices!B59/Prices!B58)</f>
        <v>-5.3908211336439246E-3</v>
      </c>
      <c r="C58">
        <f>LN(Prices!C59/Prices!C58)</f>
        <v>-3.4273574507706996E-3</v>
      </c>
      <c r="D58">
        <f>LN(Prices!D59/Prices!D58)</f>
        <v>-5.5289643379567164E-3</v>
      </c>
    </row>
    <row r="59" spans="1:4" x14ac:dyDescent="0.3">
      <c r="A59" s="5">
        <f>Prices!A59</f>
        <v>45772</v>
      </c>
      <c r="B59">
        <f>LN(Prices!B60/Prices!B59)</f>
        <v>3.4853392350441136E-3</v>
      </c>
      <c r="C59">
        <f>LN(Prices!C60/Prices!C59)</f>
        <v>5.4488029179171173E-3</v>
      </c>
      <c r="D59">
        <f>LN(Prices!D60/Prices!D59)</f>
        <v>3.3471960307313599E-3</v>
      </c>
    </row>
    <row r="60" spans="1:4" x14ac:dyDescent="0.3">
      <c r="A60" s="5">
        <f>Prices!A60</f>
        <v>45775</v>
      </c>
      <c r="B60">
        <f>LN(Prices!B61/Prices!B60)</f>
        <v>1.2414244260078354E-2</v>
      </c>
      <c r="C60">
        <f>LN(Prices!C61/Prices!C60)</f>
        <v>1.437770794295134E-2</v>
      </c>
      <c r="D60">
        <f>LN(Prices!D61/Prices!D60)</f>
        <v>1.2276101055765778E-2</v>
      </c>
    </row>
    <row r="61" spans="1:4" x14ac:dyDescent="0.3">
      <c r="A61" s="5">
        <f>Prices!A61</f>
        <v>45776</v>
      </c>
      <c r="B61">
        <f>LN(Prices!B62/Prices!B61)</f>
        <v>-7.7462711389870726E-3</v>
      </c>
      <c r="C61">
        <f>LN(Prices!C62/Prices!C61)</f>
        <v>-5.7828074561139331E-3</v>
      </c>
      <c r="D61">
        <f>LN(Prices!D62/Prices!D61)</f>
        <v>-7.8844143432994004E-3</v>
      </c>
    </row>
    <row r="62" spans="1:4" x14ac:dyDescent="0.3">
      <c r="A62" s="5">
        <f>Prices!A62</f>
        <v>45777</v>
      </c>
      <c r="B62">
        <f>LN(Prices!B63/Prices!B62)</f>
        <v>-3.6785319685237812E-3</v>
      </c>
      <c r="C62">
        <f>LN(Prices!C63/Prices!C62)</f>
        <v>-1.7150682856505897E-3</v>
      </c>
      <c r="D62">
        <f>LN(Prices!D63/Prices!D62)</f>
        <v>-3.8166751728364915E-3</v>
      </c>
    </row>
    <row r="63" spans="1:4" x14ac:dyDescent="0.3">
      <c r="A63" s="5">
        <f>Prices!A63</f>
        <v>45778</v>
      </c>
      <c r="B63">
        <f>LN(Prices!B64/Prices!B63)</f>
        <v>-1.6437901967272652E-2</v>
      </c>
      <c r="C63">
        <f>LN(Prices!C64/Prices!C63)</f>
        <v>-1.447443828439984E-2</v>
      </c>
      <c r="D63">
        <f>LN(Prices!D64/Prices!D63)</f>
        <v>-1.6576045171585417E-2</v>
      </c>
    </row>
    <row r="64" spans="1:4" x14ac:dyDescent="0.3">
      <c r="A64" s="5">
        <f>Prices!A64</f>
        <v>45779</v>
      </c>
      <c r="B64">
        <f>LN(Prices!B65/Prices!B64)</f>
        <v>-1.7683405965433358E-2</v>
      </c>
      <c r="C64">
        <f>LN(Prices!C65/Prices!C64)</f>
        <v>-1.5719942282560122E-2</v>
      </c>
      <c r="D64">
        <f>LN(Prices!D65/Prices!D64)</f>
        <v>-1.7821549169745949E-2</v>
      </c>
    </row>
    <row r="65" spans="1:4" x14ac:dyDescent="0.3">
      <c r="A65" s="5">
        <f>Prices!A65</f>
        <v>45782</v>
      </c>
      <c r="B65">
        <f>LN(Prices!B66/Prices!B65)</f>
        <v>1.0155009054674875E-2</v>
      </c>
      <c r="C65">
        <f>LN(Prices!C66/Prices!C65)</f>
        <v>1.2118472737548036E-2</v>
      </c>
      <c r="D65">
        <f>LN(Prices!D66/Prices!D65)</f>
        <v>1.001686585036235E-2</v>
      </c>
    </row>
    <row r="66" spans="1:4" x14ac:dyDescent="0.3">
      <c r="A66" s="5">
        <f>Prices!A66</f>
        <v>45783</v>
      </c>
      <c r="B66">
        <f>LN(Prices!B67/Prices!B66)</f>
        <v>1.7690179679531255E-2</v>
      </c>
      <c r="C66">
        <f>LN(Prices!C67/Prices!C66)</f>
        <v>1.9653643362404268E-2</v>
      </c>
      <c r="D66">
        <f>LN(Prices!D67/Prices!D66)</f>
        <v>1.7552036475218746E-2</v>
      </c>
    </row>
    <row r="67" spans="1:4" x14ac:dyDescent="0.3">
      <c r="A67" s="5">
        <f>Prices!A67</f>
        <v>45784</v>
      </c>
      <c r="B67">
        <f>LN(Prices!B68/Prices!B67)</f>
        <v>-2.1035068824665944E-3</v>
      </c>
      <c r="C67">
        <f>LN(Prices!C68/Prices!C67)</f>
        <v>-1.4004319959406072E-4</v>
      </c>
      <c r="D67">
        <f>LN(Prices!D68/Prices!D67)</f>
        <v>-2.2416500867798368E-3</v>
      </c>
    </row>
    <row r="68" spans="1:4" x14ac:dyDescent="0.3">
      <c r="A68" s="5">
        <f>Prices!A68</f>
        <v>45785</v>
      </c>
      <c r="B68">
        <f>LN(Prices!B69/Prices!B68)</f>
        <v>1.2802118304498756E-2</v>
      </c>
      <c r="C68">
        <f>LN(Prices!C69/Prices!C68)</f>
        <v>1.4765581987372146E-2</v>
      </c>
      <c r="D68">
        <f>LN(Prices!D69/Prices!D68)</f>
        <v>1.2663975100186452E-2</v>
      </c>
    </row>
    <row r="69" spans="1:4" x14ac:dyDescent="0.3">
      <c r="A69" s="5">
        <f>Prices!A69</f>
        <v>45786</v>
      </c>
      <c r="B69">
        <f>LN(Prices!B70/Prices!B69)</f>
        <v>3.9062638178996292E-3</v>
      </c>
      <c r="C69">
        <f>LN(Prices!C70/Prices!C69)</f>
        <v>5.8697275007723818E-3</v>
      </c>
      <c r="D69">
        <f>LN(Prices!D70/Prices!D69)</f>
        <v>3.7681206135868708E-3</v>
      </c>
    </row>
    <row r="70" spans="1:4" x14ac:dyDescent="0.3">
      <c r="A70" s="5">
        <f>Prices!A70</f>
        <v>45789</v>
      </c>
      <c r="B70">
        <f>LN(Prices!B71/Prices!B70)</f>
        <v>-1.0046059831300495E-2</v>
      </c>
      <c r="C70">
        <f>LN(Prices!C71/Prices!C70)</f>
        <v>-8.0825961484273755E-3</v>
      </c>
      <c r="D70">
        <f>LN(Prices!D71/Prices!D70)</f>
        <v>-1.0184203035613185E-2</v>
      </c>
    </row>
    <row r="71" spans="1:4" x14ac:dyDescent="0.3">
      <c r="A71" s="5">
        <f>Prices!A71</f>
        <v>45790</v>
      </c>
      <c r="B71">
        <f>LN(Prices!B72/Prices!B71)</f>
        <v>3.9029319162696232E-3</v>
      </c>
      <c r="C71">
        <f>LN(Prices!C72/Prices!C71)</f>
        <v>5.8663955991427276E-3</v>
      </c>
      <c r="D71">
        <f>LN(Prices!D72/Prices!D71)</f>
        <v>3.7647887119568921E-3</v>
      </c>
    </row>
    <row r="72" spans="1:4" x14ac:dyDescent="0.3">
      <c r="A72" s="5">
        <f>Prices!A72</f>
        <v>45791</v>
      </c>
      <c r="B72">
        <f>LN(Prices!B73/Prices!B72)</f>
        <v>2.0209642876347741E-2</v>
      </c>
      <c r="C72">
        <f>LN(Prices!C73/Prices!C72)</f>
        <v>2.2173106559220553E-2</v>
      </c>
      <c r="D72">
        <f>LN(Prices!D73/Prices!D72)</f>
        <v>2.0071499672035354E-2</v>
      </c>
    </row>
    <row r="73" spans="1:4" x14ac:dyDescent="0.3">
      <c r="A73" s="5">
        <f>Prices!A73</f>
        <v>45792</v>
      </c>
      <c r="B73">
        <f>LN(Prices!B74/Prices!B73)</f>
        <v>-1.6020426348516291E-3</v>
      </c>
      <c r="C73">
        <f>LN(Prices!C74/Prices!C73)</f>
        <v>3.6142104802141292E-4</v>
      </c>
      <c r="D73">
        <f>LN(Prices!D74/Prices!D73)</f>
        <v>-1.7401858391644497E-3</v>
      </c>
    </row>
    <row r="74" spans="1:4" x14ac:dyDescent="0.3">
      <c r="A74" s="5">
        <f>Prices!A74</f>
        <v>45793</v>
      </c>
      <c r="B74">
        <f>LN(Prices!B75/Prices!B74)</f>
        <v>2.0578382474818042E-2</v>
      </c>
      <c r="C74">
        <f>LN(Prices!C75/Prices!C74)</f>
        <v>2.2541846157690983E-2</v>
      </c>
      <c r="D74">
        <f>LN(Prices!D75/Prices!D74)</f>
        <v>2.0440239270505665E-2</v>
      </c>
    </row>
    <row r="75" spans="1:4" x14ac:dyDescent="0.3">
      <c r="A75" s="5">
        <f>Prices!A75</f>
        <v>45796</v>
      </c>
      <c r="B75">
        <f>LN(Prices!B76/Prices!B75)</f>
        <v>-3.7411794916949619E-2</v>
      </c>
      <c r="C75">
        <f>LN(Prices!C76/Prices!C75)</f>
        <v>-3.5448331234076327E-2</v>
      </c>
      <c r="D75">
        <f>LN(Prices!D76/Prices!D75)</f>
        <v>-3.7549938121262533E-2</v>
      </c>
    </row>
    <row r="76" spans="1:4" x14ac:dyDescent="0.3">
      <c r="A76" s="5">
        <f>Prices!A76</f>
        <v>45797</v>
      </c>
      <c r="B76">
        <f>LN(Prices!B77/Prices!B76)</f>
        <v>1.0284957652337738E-2</v>
      </c>
      <c r="C76">
        <f>LN(Prices!C77/Prices!C76)</f>
        <v>1.224842133521078E-2</v>
      </c>
      <c r="D76">
        <f>LN(Prices!D77/Prices!D76)</f>
        <v>1.0146814448025189E-2</v>
      </c>
    </row>
    <row r="77" spans="1:4" x14ac:dyDescent="0.3">
      <c r="A77" s="5">
        <f>Prices!A77</f>
        <v>45798</v>
      </c>
      <c r="B77">
        <f>LN(Prices!B78/Prices!B77)</f>
        <v>1.008185715625136E-4</v>
      </c>
      <c r="C77">
        <f>LN(Prices!C78/Prices!C77)</f>
        <v>2.0642822544355986E-3</v>
      </c>
      <c r="D77">
        <f>LN(Prices!D78/Prices!D77)</f>
        <v>-3.7324632750038546E-5</v>
      </c>
    </row>
    <row r="78" spans="1:4" x14ac:dyDescent="0.3">
      <c r="A78" s="5">
        <f>Prices!A78</f>
        <v>45799</v>
      </c>
      <c r="B78">
        <f>LN(Prices!B79/Prices!B78)</f>
        <v>-5.2493927754438284E-3</v>
      </c>
      <c r="C78">
        <f>LN(Prices!C79/Prices!C78)</f>
        <v>-3.2859290925708225E-3</v>
      </c>
      <c r="D78">
        <f>LN(Prices!D79/Prices!D78)</f>
        <v>-5.3875359797565456E-3</v>
      </c>
    </row>
    <row r="79" spans="1:4" x14ac:dyDescent="0.3">
      <c r="A79" s="5">
        <f>Prices!A79</f>
        <v>45800</v>
      </c>
      <c r="B79">
        <f>LN(Prices!B80/Prices!B79)</f>
        <v>1.6614442822162641E-4</v>
      </c>
      <c r="C79">
        <f>LN(Prices!C80/Prices!C79)</f>
        <v>2.1296081110945492E-3</v>
      </c>
      <c r="D79">
        <f>LN(Prices!D80/Prices!D79)</f>
        <v>2.8001223908919429E-5</v>
      </c>
    </row>
    <row r="80" spans="1:4" x14ac:dyDescent="0.3">
      <c r="A80" s="5">
        <f>Prices!A80</f>
        <v>45803</v>
      </c>
      <c r="B80">
        <f>LN(Prices!B81/Prices!B80)</f>
        <v>-2.8650656438948072E-2</v>
      </c>
      <c r="C80">
        <f>LN(Prices!C81/Prices!C80)</f>
        <v>-2.6687192756075121E-2</v>
      </c>
      <c r="D80">
        <f>LN(Prices!D81/Prices!D80)</f>
        <v>-2.8788799643260848E-2</v>
      </c>
    </row>
    <row r="81" spans="1:4" x14ac:dyDescent="0.3">
      <c r="A81" s="5">
        <f>Prices!A81</f>
        <v>45804</v>
      </c>
      <c r="B81">
        <f>LN(Prices!B82/Prices!B81)</f>
        <v>-4.1499066102574297E-3</v>
      </c>
      <c r="C81">
        <f>LN(Prices!C82/Prices!C81)</f>
        <v>-2.1864429273838236E-3</v>
      </c>
      <c r="D81">
        <f>LN(Prices!D82/Prices!D81)</f>
        <v>-4.2880498145696777E-3</v>
      </c>
    </row>
    <row r="82" spans="1:4" x14ac:dyDescent="0.3">
      <c r="A82" s="5">
        <f>Prices!A82</f>
        <v>45805</v>
      </c>
      <c r="B82">
        <f>LN(Prices!B83/Prices!B82)</f>
        <v>3.843574644397647E-3</v>
      </c>
      <c r="C82">
        <f>LN(Prices!C83/Prices!C82)</f>
        <v>5.807038327270325E-3</v>
      </c>
      <c r="D82">
        <f>LN(Prices!D83/Prices!D82)</f>
        <v>3.7054314400847251E-3</v>
      </c>
    </row>
    <row r="83" spans="1:4" x14ac:dyDescent="0.3">
      <c r="A83" s="5">
        <f>Prices!A83</f>
        <v>45806</v>
      </c>
      <c r="B83">
        <f>LN(Prices!B84/Prices!B83)</f>
        <v>1.9376145870283201E-2</v>
      </c>
      <c r="C83">
        <f>LN(Prices!C84/Prices!C83)</f>
        <v>2.1339609553156051E-2</v>
      </c>
      <c r="D83">
        <f>LN(Prices!D84/Prices!D83)</f>
        <v>1.9238002665970404E-2</v>
      </c>
    </row>
    <row r="84" spans="1:4" x14ac:dyDescent="0.3">
      <c r="A84" s="5">
        <f>Prices!A84</f>
        <v>45807</v>
      </c>
      <c r="B84">
        <f>LN(Prices!B85/Prices!B84)</f>
        <v>-8.2880904990975633E-3</v>
      </c>
      <c r="C84">
        <f>LN(Prices!C85/Prices!C84)</f>
        <v>-6.3246268162240995E-3</v>
      </c>
      <c r="D84">
        <f>LN(Prices!D85/Prices!D84)</f>
        <v>-8.4262337034100611E-3</v>
      </c>
    </row>
    <row r="85" spans="1:4" x14ac:dyDescent="0.3">
      <c r="A85" s="5">
        <f>Prices!A85</f>
        <v>45810</v>
      </c>
      <c r="B85">
        <f>LN(Prices!B86/Prices!B85)</f>
        <v>-1.2310208548595582E-2</v>
      </c>
      <c r="C85">
        <f>LN(Prices!C86/Prices!C85)</f>
        <v>-1.0346744865722467E-2</v>
      </c>
      <c r="D85">
        <f>LN(Prices!D86/Prices!D85)</f>
        <v>-1.244835175290818E-2</v>
      </c>
    </row>
    <row r="86" spans="1:4" x14ac:dyDescent="0.3">
      <c r="A86" s="5">
        <f>Prices!A86</f>
        <v>45811</v>
      </c>
      <c r="B86">
        <f>LN(Prices!B87/Prices!B86)</f>
        <v>-8.0592394088976598E-3</v>
      </c>
      <c r="C86">
        <f>LN(Prices!C87/Prices!C86)</f>
        <v>-6.095775726025307E-3</v>
      </c>
      <c r="D86">
        <f>LN(Prices!D87/Prices!D86)</f>
        <v>-8.19738261321022E-3</v>
      </c>
    </row>
    <row r="87" spans="1:4" x14ac:dyDescent="0.3">
      <c r="A87" s="5">
        <f>Prices!A87</f>
        <v>45812</v>
      </c>
      <c r="B87">
        <f>LN(Prices!B88/Prices!B87)</f>
        <v>1.1580740495185088E-2</v>
      </c>
      <c r="C87">
        <f>LN(Prices!C88/Prices!C87)</f>
        <v>1.3544204178058123E-2</v>
      </c>
      <c r="D87">
        <f>LN(Prices!D88/Prices!D87)</f>
        <v>1.1442597290872176E-2</v>
      </c>
    </row>
    <row r="88" spans="1:4" x14ac:dyDescent="0.3">
      <c r="A88" s="5">
        <f>Prices!A88</f>
        <v>45813</v>
      </c>
      <c r="B88">
        <f>LN(Prices!B89/Prices!B88)</f>
        <v>3.4505217283651293E-3</v>
      </c>
      <c r="C88">
        <f>LN(Prices!C89/Prices!C88)</f>
        <v>5.413985411238581E-3</v>
      </c>
      <c r="D88">
        <f>LN(Prices!D89/Prices!D88)</f>
        <v>3.3123785240526818E-3</v>
      </c>
    </row>
    <row r="89" spans="1:4" x14ac:dyDescent="0.3">
      <c r="A89" s="5">
        <f>Prices!A89</f>
        <v>45814</v>
      </c>
      <c r="B89">
        <f>LN(Prices!B90/Prices!B89)</f>
        <v>-8.447326730533361E-3</v>
      </c>
      <c r="C89">
        <f>LN(Prices!C90/Prices!C89)</f>
        <v>-6.483863047660323E-3</v>
      </c>
      <c r="D89">
        <f>LN(Prices!D90/Prices!D89)</f>
        <v>-8.5854699348459611E-3</v>
      </c>
    </row>
    <row r="90" spans="1:4" x14ac:dyDescent="0.3">
      <c r="A90" s="5">
        <f>Prices!A90</f>
        <v>45817</v>
      </c>
      <c r="B90">
        <f>LN(Prices!B91/Prices!B90)</f>
        <v>6.0076776100771194E-3</v>
      </c>
      <c r="C90">
        <f>LN(Prices!C91/Prices!C90)</f>
        <v>7.9711412929500871E-3</v>
      </c>
      <c r="D90">
        <f>LN(Prices!D91/Prices!D90)</f>
        <v>5.8695344057645054E-3</v>
      </c>
    </row>
    <row r="91" spans="1:4" x14ac:dyDescent="0.3">
      <c r="A91" s="5">
        <f>Prices!A91</f>
        <v>45818</v>
      </c>
      <c r="B91">
        <f>LN(Prices!B92/Prices!B91)</f>
        <v>2.39827973475823E-4</v>
      </c>
      <c r="C91">
        <f>LN(Prices!C92/Prices!C91)</f>
        <v>2.2032916563485064E-3</v>
      </c>
      <c r="D91">
        <f>LN(Prices!D92/Prices!D91)</f>
        <v>1.0168476916249576E-4</v>
      </c>
    </row>
    <row r="92" spans="1:4" x14ac:dyDescent="0.3">
      <c r="A92" s="5">
        <f>Prices!A92</f>
        <v>45819</v>
      </c>
      <c r="B92">
        <f>LN(Prices!B93/Prices!B92)</f>
        <v>1.231861735545481E-2</v>
      </c>
      <c r="C92">
        <f>LN(Prices!C93/Prices!C92)</f>
        <v>1.4282081038327666E-2</v>
      </c>
      <c r="D92">
        <f>LN(Prices!D93/Prices!D92)</f>
        <v>1.2180474151142194E-2</v>
      </c>
    </row>
    <row r="93" spans="1:4" x14ac:dyDescent="0.3">
      <c r="A93" s="5">
        <f>Prices!A93</f>
        <v>45820</v>
      </c>
      <c r="B93">
        <f>LN(Prices!B94/Prices!B93)</f>
        <v>-1.0835081749038676E-2</v>
      </c>
      <c r="C93">
        <f>LN(Prices!C94/Prices!C93)</f>
        <v>-8.8716180661656194E-3</v>
      </c>
      <c r="D93">
        <f>LN(Prices!D94/Prices!D93)</f>
        <v>-1.0973224953351454E-2</v>
      </c>
    </row>
    <row r="94" spans="1:4" x14ac:dyDescent="0.3">
      <c r="A94" s="5">
        <f>Prices!A94</f>
        <v>45821</v>
      </c>
      <c r="B94">
        <f>LN(Prices!B95/Prices!B94)</f>
        <v>-5.6465109224807858E-3</v>
      </c>
      <c r="C94">
        <f>LN(Prices!C95/Prices!C94)</f>
        <v>-3.6830472396074568E-3</v>
      </c>
      <c r="D94">
        <f>LN(Prices!D95/Prices!D94)</f>
        <v>-5.7846541267930407E-3</v>
      </c>
    </row>
    <row r="95" spans="1:4" x14ac:dyDescent="0.3">
      <c r="A95" s="5">
        <f>Prices!A95</f>
        <v>45824</v>
      </c>
      <c r="B95">
        <f>LN(Prices!B96/Prices!B95)</f>
        <v>-6.5396486220488268E-3</v>
      </c>
      <c r="C95">
        <f>LN(Prices!C96/Prices!C95)</f>
        <v>-4.57618493917584E-3</v>
      </c>
      <c r="D95">
        <f>LN(Prices!D96/Prices!D95)</f>
        <v>-6.6777918263614157E-3</v>
      </c>
    </row>
    <row r="96" spans="1:4" x14ac:dyDescent="0.3">
      <c r="A96" s="5">
        <f>Prices!A96</f>
        <v>45825</v>
      </c>
      <c r="B96">
        <f>LN(Prices!B97/Prices!B96)</f>
        <v>-2.1387951125906555E-2</v>
      </c>
      <c r="C96">
        <f>LN(Prices!C97/Prices!C96)</f>
        <v>-1.9424487443033402E-2</v>
      </c>
      <c r="D96">
        <f>LN(Prices!D97/Prices!D96)</f>
        <v>-2.1526094330219476E-2</v>
      </c>
    </row>
    <row r="97" spans="1:4" x14ac:dyDescent="0.3">
      <c r="A97" s="5">
        <f>Prices!A97</f>
        <v>45826</v>
      </c>
      <c r="B97">
        <f>LN(Prices!B98/Prices!B97)</f>
        <v>2.9983008953578662E-3</v>
      </c>
      <c r="C97">
        <f>LN(Prices!C98/Prices!C97)</f>
        <v>4.9617645782309011E-3</v>
      </c>
      <c r="D97">
        <f>LN(Prices!D98/Prices!D97)</f>
        <v>2.8601576910453263E-3</v>
      </c>
    </row>
    <row r="98" spans="1:4" x14ac:dyDescent="0.3">
      <c r="A98" s="5">
        <f>Prices!A98</f>
        <v>45827</v>
      </c>
      <c r="B98">
        <f>LN(Prices!B99/Prices!B98)</f>
        <v>2.5123456053066568E-3</v>
      </c>
      <c r="C98">
        <f>LN(Prices!C99/Prices!C98)</f>
        <v>4.4758092881796649E-3</v>
      </c>
      <c r="D98">
        <f>LN(Prices!D99/Prices!D98)</f>
        <v>2.3742024009941426E-3</v>
      </c>
    </row>
    <row r="99" spans="1:4" x14ac:dyDescent="0.3">
      <c r="A99" s="5">
        <f>Prices!A99</f>
        <v>45828</v>
      </c>
      <c r="B99">
        <f>LN(Prices!B100/Prices!B99)</f>
        <v>-1.0346745538161318E-3</v>
      </c>
      <c r="C99">
        <f>LN(Prices!C100/Prices!C99)</f>
        <v>9.2878912905663491E-4</v>
      </c>
      <c r="D99">
        <f>LN(Prices!D100/Prices!D99)</f>
        <v>-1.1728177581290776E-3</v>
      </c>
    </row>
    <row r="100" spans="1:4" x14ac:dyDescent="0.3">
      <c r="A100" s="5">
        <f>Prices!A100</f>
        <v>45831</v>
      </c>
      <c r="B100">
        <f>LN(Prices!B101/Prices!B100)</f>
        <v>-4.3566124839699719E-3</v>
      </c>
      <c r="C100">
        <f>LN(Prices!C101/Prices!C100)</f>
        <v>-2.3931488010968992E-3</v>
      </c>
      <c r="D100">
        <f>LN(Prices!D101/Prices!D100)</f>
        <v>-4.4947556882823066E-3</v>
      </c>
    </row>
    <row r="101" spans="1:4" x14ac:dyDescent="0.3">
      <c r="A101" s="5">
        <f>Prices!A101</f>
        <v>45832</v>
      </c>
      <c r="B101">
        <f>LN(Prices!B102/Prices!B101)</f>
        <v>-2.0720735144969055E-2</v>
      </c>
      <c r="C101">
        <f>LN(Prices!C102/Prices!C101)</f>
        <v>-1.8757271462095954E-2</v>
      </c>
      <c r="D101">
        <f>LN(Prices!D102/Prices!D101)</f>
        <v>-2.0858878349281556E-2</v>
      </c>
    </row>
    <row r="102" spans="1:4" x14ac:dyDescent="0.3">
      <c r="A102" s="5">
        <f>Prices!A102</f>
        <v>45833</v>
      </c>
      <c r="B102">
        <f>LN(Prices!B103/Prices!B102)</f>
        <v>-6.935136619040199E-3</v>
      </c>
      <c r="C102">
        <f>LN(Prices!C103/Prices!C102)</f>
        <v>-4.9716729361670231E-3</v>
      </c>
      <c r="D102">
        <f>LN(Prices!D103/Prices!D102)</f>
        <v>-7.0732798233532398E-3</v>
      </c>
    </row>
    <row r="103" spans="1:4" x14ac:dyDescent="0.3">
      <c r="A103" s="5">
        <f>Prices!A103</f>
        <v>45834</v>
      </c>
      <c r="B103">
        <f>LN(Prices!B104/Prices!B103)</f>
        <v>-5.8551171616318598E-3</v>
      </c>
      <c r="C103">
        <f>LN(Prices!C104/Prices!C103)</f>
        <v>-3.8916534787583486E-3</v>
      </c>
      <c r="D103">
        <f>LN(Prices!D104/Prices!D103)</f>
        <v>-5.9932603659439395E-3</v>
      </c>
    </row>
    <row r="104" spans="1:4" x14ac:dyDescent="0.3">
      <c r="A104" s="5">
        <f>Prices!A104</f>
        <v>45835</v>
      </c>
      <c r="B104">
        <f>LN(Prices!B105/Prices!B104)</f>
        <v>-1.2224058261653861E-2</v>
      </c>
      <c r="C104">
        <f>LN(Prices!C105/Prices!C104)</f>
        <v>-1.0260594578781063E-2</v>
      </c>
      <c r="D104">
        <f>LN(Prices!D105/Prices!D104)</f>
        <v>-1.2362201465966647E-2</v>
      </c>
    </row>
    <row r="105" spans="1:4" x14ac:dyDescent="0.3">
      <c r="A105" s="5">
        <f>Prices!A105</f>
        <v>45838</v>
      </c>
      <c r="B105">
        <f>LN(Prices!B106/Prices!B105)</f>
        <v>-3.3407502656419182E-3</v>
      </c>
      <c r="C105">
        <f>LN(Prices!C106/Prices!C105)</f>
        <v>-1.3772865827693674E-3</v>
      </c>
      <c r="D105">
        <f>LN(Prices!D106/Prices!D105)</f>
        <v>-3.4788934699549758E-3</v>
      </c>
    </row>
    <row r="106" spans="1:4" x14ac:dyDescent="0.3">
      <c r="A106" s="5">
        <f>Prices!A106</f>
        <v>45839</v>
      </c>
      <c r="B106">
        <f>LN(Prices!B107/Prices!B106)</f>
        <v>4.4940781342393144E-3</v>
      </c>
      <c r="C106">
        <f>LN(Prices!C107/Prices!C106)</f>
        <v>6.4575418171126456E-3</v>
      </c>
      <c r="D106">
        <f>LN(Prices!D107/Prices!D106)</f>
        <v>4.3559349299268774E-3</v>
      </c>
    </row>
    <row r="107" spans="1:4" x14ac:dyDescent="0.3">
      <c r="A107" s="5">
        <f>Prices!A107</f>
        <v>45840</v>
      </c>
      <c r="B107">
        <f>LN(Prices!B108/Prices!B107)</f>
        <v>2.5034539136973139E-2</v>
      </c>
      <c r="C107">
        <f>LN(Prices!C108/Prices!C107)</f>
        <v>2.6998002819846018E-2</v>
      </c>
      <c r="D107">
        <f>LN(Prices!D108/Prices!D107)</f>
        <v>2.4896395932660426E-2</v>
      </c>
    </row>
    <row r="108" spans="1:4" x14ac:dyDescent="0.3">
      <c r="A108" s="5">
        <f>Prices!A108</f>
        <v>45841</v>
      </c>
      <c r="B108">
        <f>LN(Prices!B109/Prices!B108)</f>
        <v>1.3138806691520887E-3</v>
      </c>
      <c r="C108">
        <f>LN(Prices!C109/Prices!C108)</f>
        <v>3.2773443520257546E-3</v>
      </c>
      <c r="D108">
        <f>LN(Prices!D109/Prices!D108)</f>
        <v>1.1757374648394018E-3</v>
      </c>
    </row>
    <row r="109" spans="1:4" x14ac:dyDescent="0.3">
      <c r="A109" s="5">
        <f>Prices!A109</f>
        <v>45842</v>
      </c>
      <c r="B109">
        <f>LN(Prices!B110/Prices!B109)</f>
        <v>2.4637725139675152E-3</v>
      </c>
      <c r="C109">
        <f>LN(Prices!C110/Prices!C109)</f>
        <v>4.4272361968398094E-3</v>
      </c>
      <c r="D109">
        <f>LN(Prices!D110/Prices!D109)</f>
        <v>2.3256293096551011E-3</v>
      </c>
    </row>
    <row r="110" spans="1:4" x14ac:dyDescent="0.3">
      <c r="A110" s="5">
        <f>Prices!A110</f>
        <v>45845</v>
      </c>
      <c r="B110">
        <f>LN(Prices!B111/Prices!B110)</f>
        <v>-2.1372638168801862E-3</v>
      </c>
      <c r="C110">
        <f>LN(Prices!C111/Prices!C110)</f>
        <v>-1.7380013400690903E-4</v>
      </c>
      <c r="D110">
        <f>LN(Prices!D111/Prices!D110)</f>
        <v>-2.2754070211928124E-3</v>
      </c>
    </row>
    <row r="111" spans="1:4" x14ac:dyDescent="0.3">
      <c r="A111" s="5">
        <f>Prices!A111</f>
        <v>45846</v>
      </c>
      <c r="B111">
        <f>LN(Prices!B112/Prices!B111)</f>
        <v>-2.7697209946382612E-2</v>
      </c>
      <c r="C111">
        <f>LN(Prices!C112/Prices!C111)</f>
        <v>-2.5733746263509851E-2</v>
      </c>
      <c r="D111">
        <f>LN(Prices!D112/Prices!D111)</f>
        <v>-2.7835353150695616E-2</v>
      </c>
    </row>
    <row r="112" spans="1:4" x14ac:dyDescent="0.3">
      <c r="A112" s="5">
        <f>Prices!A112</f>
        <v>45847</v>
      </c>
      <c r="B112">
        <f>LN(Prices!B113/Prices!B112)</f>
        <v>-1.4729881770627826E-3</v>
      </c>
      <c r="C112">
        <f>LN(Prices!C113/Prices!C112)</f>
        <v>4.9047550581039355E-4</v>
      </c>
      <c r="D112">
        <f>LN(Prices!D113/Prices!D112)</f>
        <v>-1.6111313813752281E-3</v>
      </c>
    </row>
    <row r="113" spans="1:4" x14ac:dyDescent="0.3">
      <c r="A113" s="5">
        <f>Prices!A113</f>
        <v>45848</v>
      </c>
      <c r="B113">
        <f>LN(Prices!B114/Prices!B113)</f>
        <v>-2.7082815128588657E-4</v>
      </c>
      <c r="C113">
        <f>LN(Prices!C114/Prices!C113)</f>
        <v>1.6926355315877322E-3</v>
      </c>
      <c r="D113">
        <f>LN(Prices!D114/Prices!D113)</f>
        <v>-4.0897135559854925E-4</v>
      </c>
    </row>
    <row r="114" spans="1:4" x14ac:dyDescent="0.3">
      <c r="A114" s="5">
        <f>Prices!A114</f>
        <v>45849</v>
      </c>
      <c r="B114">
        <f>LN(Prices!B115/Prices!B114)</f>
        <v>3.3031786519315938E-2</v>
      </c>
      <c r="C114">
        <f>LN(Prices!C115/Prices!C114)</f>
        <v>3.4995250202188459E-2</v>
      </c>
      <c r="D114">
        <f>LN(Prices!D115/Prices!D114)</f>
        <v>3.28936433150036E-2</v>
      </c>
    </row>
    <row r="115" spans="1:4" x14ac:dyDescent="0.3">
      <c r="A115" s="5">
        <f>Prices!A115</f>
        <v>45852</v>
      </c>
      <c r="B115">
        <f>LN(Prices!B116/Prices!B115)</f>
        <v>-3.77141279344253E-3</v>
      </c>
      <c r="C115">
        <f>LN(Prices!C116/Prices!C115)</f>
        <v>-1.8079491105689992E-3</v>
      </c>
      <c r="D115">
        <f>LN(Prices!D116/Prices!D115)</f>
        <v>-3.9095559977555209E-3</v>
      </c>
    </row>
    <row r="116" spans="1:4" x14ac:dyDescent="0.3">
      <c r="A116" s="5">
        <f>Prices!A116</f>
        <v>45853</v>
      </c>
      <c r="B116">
        <f>LN(Prices!B117/Prices!B116)</f>
        <v>3.0735129503856153E-3</v>
      </c>
      <c r="C116">
        <f>LN(Prices!C117/Prices!C116)</f>
        <v>5.0369766332584885E-3</v>
      </c>
      <c r="D116">
        <f>LN(Prices!D117/Prices!D116)</f>
        <v>2.9353697460734129E-3</v>
      </c>
    </row>
    <row r="117" spans="1:4" x14ac:dyDescent="0.3">
      <c r="A117" s="5">
        <f>Prices!A117</f>
        <v>45854</v>
      </c>
      <c r="B117">
        <f>LN(Prices!B118/Prices!B117)</f>
        <v>-1.5866003124123636E-3</v>
      </c>
      <c r="C117">
        <f>LN(Prices!C118/Prices!C117)</f>
        <v>3.7686337046093982E-4</v>
      </c>
      <c r="D117">
        <f>LN(Prices!D118/Prices!D117)</f>
        <v>-1.7247435167255106E-3</v>
      </c>
    </row>
    <row r="118" spans="1:4" x14ac:dyDescent="0.3">
      <c r="A118" s="5">
        <f>Prices!A118</f>
        <v>45855</v>
      </c>
      <c r="B118">
        <f>LN(Prices!B119/Prices!B118)</f>
        <v>-1.7301895617369598E-2</v>
      </c>
      <c r="C118">
        <f>LN(Prices!C119/Prices!C118)</f>
        <v>-1.5338431934496523E-2</v>
      </c>
      <c r="D118">
        <f>LN(Prices!D119/Prices!D118)</f>
        <v>-1.7440038821681974E-2</v>
      </c>
    </row>
    <row r="119" spans="1:4" x14ac:dyDescent="0.3">
      <c r="A119" s="5">
        <f>Prices!A119</f>
        <v>45856</v>
      </c>
      <c r="B119">
        <f>LN(Prices!B120/Prices!B119)</f>
        <v>1.4732495102002738E-2</v>
      </c>
      <c r="C119">
        <f>LN(Prices!C120/Prices!C119)</f>
        <v>1.6695958784875713E-2</v>
      </c>
      <c r="D119">
        <f>LN(Prices!D120/Prices!D119)</f>
        <v>1.4594351897690174E-2</v>
      </c>
    </row>
    <row r="120" spans="1:4" x14ac:dyDescent="0.3">
      <c r="A120" s="5">
        <f>Prices!A120</f>
        <v>45859</v>
      </c>
      <c r="B120">
        <f>LN(Prices!B121/Prices!B120)</f>
        <v>9.3152719209110349E-3</v>
      </c>
      <c r="C120">
        <f>LN(Prices!C121/Prices!C120)</f>
        <v>1.1278735603783722E-2</v>
      </c>
      <c r="D120">
        <f>LN(Prices!D121/Prices!D120)</f>
        <v>9.1771287165979768E-3</v>
      </c>
    </row>
    <row r="121" spans="1:4" x14ac:dyDescent="0.3">
      <c r="A121" s="5">
        <f>Prices!A121</f>
        <v>45860</v>
      </c>
      <c r="B121">
        <f>LN(Prices!B122/Prices!B121)</f>
        <v>9.8571319414404324E-3</v>
      </c>
      <c r="C121">
        <f>LN(Prices!C122/Prices!C121)</f>
        <v>1.1820595624313597E-2</v>
      </c>
      <c r="D121">
        <f>LN(Prices!D122/Prices!D121)</f>
        <v>9.718988737128384E-3</v>
      </c>
    </row>
    <row r="122" spans="1:4" x14ac:dyDescent="0.3">
      <c r="A122" s="5">
        <f>Prices!A122</f>
        <v>45861</v>
      </c>
      <c r="B122">
        <f>LN(Prices!B123/Prices!B122)</f>
        <v>-1.3708465905936296E-2</v>
      </c>
      <c r="C122">
        <f>LN(Prices!C123/Prices!C122)</f>
        <v>-1.1745002223063248E-2</v>
      </c>
      <c r="D122">
        <f>LN(Prices!D123/Prices!D122)</f>
        <v>-1.3846609110249083E-2</v>
      </c>
    </row>
    <row r="123" spans="1:4" x14ac:dyDescent="0.3">
      <c r="A123" s="5">
        <f>Prices!A123</f>
        <v>45862</v>
      </c>
      <c r="B123">
        <f>LN(Prices!B124/Prices!B123)</f>
        <v>1.8335361388883569E-2</v>
      </c>
      <c r="C123">
        <f>LN(Prices!C124/Prices!C123)</f>
        <v>2.029882507175667E-2</v>
      </c>
      <c r="D123">
        <f>LN(Prices!D124/Prices!D123)</f>
        <v>1.8197218184570863E-2</v>
      </c>
    </row>
    <row r="124" spans="1:4" x14ac:dyDescent="0.3">
      <c r="A124" s="5">
        <f>Prices!A124</f>
        <v>45863</v>
      </c>
      <c r="B124">
        <f>LN(Prices!B125/Prices!B124)</f>
        <v>-2.0533370001946889E-2</v>
      </c>
      <c r="C124">
        <f>LN(Prices!C125/Prices!C124)</f>
        <v>-1.8569906319073511E-2</v>
      </c>
      <c r="D124">
        <f>LN(Prices!D125/Prices!D124)</f>
        <v>-2.0671513206259904E-2</v>
      </c>
    </row>
    <row r="125" spans="1:4" x14ac:dyDescent="0.3">
      <c r="A125" s="5">
        <f>Prices!A125</f>
        <v>45866</v>
      </c>
      <c r="B125">
        <f>LN(Prices!B126/Prices!B125)</f>
        <v>7.0275344451605406E-3</v>
      </c>
      <c r="C125">
        <f>LN(Prices!C126/Prices!C125)</f>
        <v>8.9909981280332663E-3</v>
      </c>
      <c r="D125">
        <f>LN(Prices!D126/Prices!D125)</f>
        <v>6.8893912408479049E-3</v>
      </c>
    </row>
    <row r="126" spans="1:4" x14ac:dyDescent="0.3">
      <c r="A126" s="5">
        <f>Prices!A126</f>
        <v>45867</v>
      </c>
      <c r="B126">
        <f>LN(Prices!B127/Prices!B126)</f>
        <v>2.9251321161039252E-2</v>
      </c>
      <c r="C126">
        <f>LN(Prices!C127/Prices!C126)</f>
        <v>3.1214784843912099E-2</v>
      </c>
      <c r="D126">
        <f>LN(Prices!D127/Prices!D126)</f>
        <v>2.9113177956727011E-2</v>
      </c>
    </row>
    <row r="127" spans="1:4" x14ac:dyDescent="0.3">
      <c r="A127" s="5">
        <f>Prices!A127</f>
        <v>45868</v>
      </c>
      <c r="B127">
        <f>LN(Prices!B128/Prices!B127)</f>
        <v>-1.4833083539703374E-2</v>
      </c>
      <c r="C127">
        <f>LN(Prices!C128/Prices!C127)</f>
        <v>-1.2869619856830163E-2</v>
      </c>
      <c r="D127">
        <f>LN(Prices!D128/Prices!D127)</f>
        <v>-1.4971226744015922E-2</v>
      </c>
    </row>
    <row r="128" spans="1:4" x14ac:dyDescent="0.3">
      <c r="A128" s="5">
        <f>Prices!A128</f>
        <v>45869</v>
      </c>
      <c r="B128">
        <f>LN(Prices!B129/Prices!B128)</f>
        <v>-8.9536892427775714E-3</v>
      </c>
      <c r="C128">
        <f>LN(Prices!C129/Prices!C128)</f>
        <v>-6.9902255599044137E-3</v>
      </c>
      <c r="D128">
        <f>LN(Prices!D129/Prices!D128)</f>
        <v>-9.0918324470902704E-3</v>
      </c>
    </row>
    <row r="129" spans="1:4" x14ac:dyDescent="0.3">
      <c r="A129" s="5">
        <f>Prices!A129</f>
        <v>45870</v>
      </c>
      <c r="B129">
        <f>LN(Prices!B130/Prices!B129)</f>
        <v>2.7549770682917281E-4</v>
      </c>
      <c r="C129">
        <f>LN(Prices!C130/Prices!C129)</f>
        <v>2.2389613897024502E-3</v>
      </c>
      <c r="D129">
        <f>LN(Prices!D130/Prices!D129)</f>
        <v>1.3735450251684851E-4</v>
      </c>
    </row>
    <row r="130" spans="1:4" x14ac:dyDescent="0.3">
      <c r="A130" s="5">
        <f>Prices!A130</f>
        <v>45873</v>
      </c>
      <c r="B130">
        <f>LN(Prices!B131/Prices!B130)</f>
        <v>-8.0830571121075761E-3</v>
      </c>
      <c r="C130">
        <f>LN(Prices!C131/Prices!C130)</f>
        <v>-6.1195934292347601E-3</v>
      </c>
      <c r="D130">
        <f>LN(Prices!D131/Prices!D130)</f>
        <v>-8.2212003164205665E-3</v>
      </c>
    </row>
    <row r="131" spans="1:4" x14ac:dyDescent="0.3">
      <c r="A131" s="5">
        <f>Prices!A131</f>
        <v>45874</v>
      </c>
      <c r="B131">
        <f>LN(Prices!B132/Prices!B131)</f>
        <v>-2.2595715574849289E-2</v>
      </c>
      <c r="C131">
        <f>LN(Prices!C132/Prices!C131)</f>
        <v>-2.0632251891976348E-2</v>
      </c>
      <c r="D131">
        <f>LN(Prices!D132/Prices!D131)</f>
        <v>-2.2733858779161828E-2</v>
      </c>
    </row>
    <row r="132" spans="1:4" x14ac:dyDescent="0.3">
      <c r="A132" s="5">
        <f>Prices!A132</f>
        <v>45875</v>
      </c>
      <c r="B132">
        <f>LN(Prices!B133/Prices!B132)</f>
        <v>-1.5534688498574332E-4</v>
      </c>
      <c r="C132">
        <f>LN(Prices!C133/Prices!C132)</f>
        <v>1.808116797887379E-3</v>
      </c>
      <c r="D132">
        <f>LN(Prices!D133/Prices!D132)</f>
        <v>-2.9349008929841505E-4</v>
      </c>
    </row>
    <row r="133" spans="1:4" x14ac:dyDescent="0.3">
      <c r="A133" s="5">
        <f>Prices!A133</f>
        <v>45876</v>
      </c>
      <c r="B133">
        <f>LN(Prices!B134/Prices!B133)</f>
        <v>-1.5827686057392862E-2</v>
      </c>
      <c r="C133">
        <f>LN(Prices!C134/Prices!C133)</f>
        <v>-1.3864222374519713E-2</v>
      </c>
      <c r="D133">
        <f>LN(Prices!D134/Prices!D133)</f>
        <v>-1.5965829261705065E-2</v>
      </c>
    </row>
    <row r="134" spans="1:4" x14ac:dyDescent="0.3">
      <c r="A134" s="5">
        <f>Prices!A134</f>
        <v>45877</v>
      </c>
      <c r="B134">
        <f>LN(Prices!B135/Prices!B134)</f>
        <v>5.4578337586227267E-3</v>
      </c>
      <c r="C134">
        <f>LN(Prices!C135/Prices!C134)</f>
        <v>7.4212974414952851E-3</v>
      </c>
      <c r="D134">
        <f>LN(Prices!D135/Prices!D134)</f>
        <v>5.3196905543093729E-3</v>
      </c>
    </row>
    <row r="135" spans="1:4" x14ac:dyDescent="0.3">
      <c r="A135" s="5">
        <f>Prices!A135</f>
        <v>45880</v>
      </c>
      <c r="B135">
        <f>LN(Prices!B136/Prices!B135)</f>
        <v>-1.3847562594487568E-2</v>
      </c>
      <c r="C135">
        <f>LN(Prices!C136/Prices!C135)</f>
        <v>-1.188409891161441E-2</v>
      </c>
      <c r="D135">
        <f>LN(Prices!D136/Prices!D135)</f>
        <v>-1.3985705798800218E-2</v>
      </c>
    </row>
    <row r="136" spans="1:4" x14ac:dyDescent="0.3">
      <c r="A136" s="5">
        <f>Prices!A136</f>
        <v>45881</v>
      </c>
      <c r="B136">
        <f>LN(Prices!B137/Prices!B136)</f>
        <v>2.0374531419877568E-2</v>
      </c>
      <c r="C136">
        <f>LN(Prices!C137/Prices!C136)</f>
        <v>2.233799510275054E-2</v>
      </c>
      <c r="D136">
        <f>LN(Prices!D137/Prices!D136)</f>
        <v>2.0236388215565365E-2</v>
      </c>
    </row>
    <row r="137" spans="1:4" x14ac:dyDescent="0.3">
      <c r="A137" s="5">
        <f>Prices!A137</f>
        <v>45882</v>
      </c>
      <c r="B137">
        <f>LN(Prices!B138/Prices!B137)</f>
        <v>-1.1960410723726337E-2</v>
      </c>
      <c r="C137">
        <f>LN(Prices!C138/Prices!C137)</f>
        <v>-9.9969470408534412E-3</v>
      </c>
      <c r="D137">
        <f>LN(Prices!D138/Prices!D137)</f>
        <v>-1.2098553928039282E-2</v>
      </c>
    </row>
    <row r="138" spans="1:4" x14ac:dyDescent="0.3">
      <c r="A138" s="5">
        <f>Prices!A138</f>
        <v>45883</v>
      </c>
      <c r="B138">
        <f>LN(Prices!B139/Prices!B138)</f>
        <v>-5.5688934809427848E-3</v>
      </c>
      <c r="C138">
        <f>LN(Prices!C139/Prices!C138)</f>
        <v>-3.6054297980692086E-3</v>
      </c>
      <c r="D138">
        <f>LN(Prices!D139/Prices!D138)</f>
        <v>-5.7070366852552826E-3</v>
      </c>
    </row>
    <row r="139" spans="1:4" x14ac:dyDescent="0.3">
      <c r="A139" s="5">
        <f>Prices!A139</f>
        <v>45884</v>
      </c>
      <c r="B139">
        <f>LN(Prices!B140/Prices!B139)</f>
        <v>1.0168748497588148E-2</v>
      </c>
      <c r="C139">
        <f>LN(Prices!C140/Prices!C139)</f>
        <v>1.2132212180460709E-2</v>
      </c>
      <c r="D139">
        <f>LN(Prices!D140/Prices!D139)</f>
        <v>1.0030605293275423E-2</v>
      </c>
    </row>
    <row r="140" spans="1:4" x14ac:dyDescent="0.3">
      <c r="A140" s="5">
        <f>Prices!A140</f>
        <v>45887</v>
      </c>
      <c r="B140">
        <f>LN(Prices!B141/Prices!B140)</f>
        <v>-1.8163716434387963E-2</v>
      </c>
      <c r="C140">
        <f>LN(Prices!C141/Prices!C140)</f>
        <v>-1.6200252751514769E-2</v>
      </c>
      <c r="D140">
        <f>LN(Prices!D141/Prices!D140)</f>
        <v>-1.8301859638700881E-2</v>
      </c>
    </row>
    <row r="141" spans="1:4" x14ac:dyDescent="0.3">
      <c r="A141" s="5">
        <f>Prices!A141</f>
        <v>45888</v>
      </c>
      <c r="B141">
        <f>LN(Prices!B142/Prices!B141)</f>
        <v>2.0467579896857459E-3</v>
      </c>
      <c r="C141">
        <f>LN(Prices!C142/Prices!C141)</f>
        <v>4.0102216725584902E-3</v>
      </c>
      <c r="D141">
        <f>LN(Prices!D142/Prices!D141)</f>
        <v>1.9086147853732401E-3</v>
      </c>
    </row>
    <row r="142" spans="1:4" x14ac:dyDescent="0.3">
      <c r="A142" s="5">
        <f>Prices!A142</f>
        <v>45889</v>
      </c>
      <c r="B142">
        <f>LN(Prices!B143/Prices!B142)</f>
        <v>1.7009755414769255E-2</v>
      </c>
      <c r="C142">
        <f>LN(Prices!C143/Prices!C142)</f>
        <v>1.8973219097642498E-2</v>
      </c>
      <c r="D142">
        <f>LN(Prices!D143/Prices!D142)</f>
        <v>1.6871612210456566E-2</v>
      </c>
    </row>
    <row r="143" spans="1:4" x14ac:dyDescent="0.3">
      <c r="A143" s="5">
        <f>Prices!A143</f>
        <v>45890</v>
      </c>
      <c r="B143">
        <f>LN(Prices!B144/Prices!B143)</f>
        <v>-2.3383164034614767E-2</v>
      </c>
      <c r="C143">
        <f>LN(Prices!C144/Prices!C143)</f>
        <v>-2.141970035174141E-2</v>
      </c>
      <c r="D143">
        <f>LN(Prices!D144/Prices!D143)</f>
        <v>-2.3521307238927074E-2</v>
      </c>
    </row>
    <row r="144" spans="1:4" x14ac:dyDescent="0.3">
      <c r="A144" s="5">
        <f>Prices!A144</f>
        <v>45891</v>
      </c>
      <c r="B144">
        <f>LN(Prices!B145/Prices!B144)</f>
        <v>1.4532443629892652E-3</v>
      </c>
      <c r="C144">
        <f>LN(Prices!C145/Prices!C144)</f>
        <v>3.4167080458622598E-3</v>
      </c>
      <c r="D144">
        <f>LN(Prices!D145/Prices!D144)</f>
        <v>1.3151011586767446E-3</v>
      </c>
    </row>
    <row r="145" spans="1:4" x14ac:dyDescent="0.3">
      <c r="A145" s="5">
        <f>Prices!A145</f>
        <v>45894</v>
      </c>
      <c r="B145">
        <f>LN(Prices!B146/Prices!B145)</f>
        <v>2.4960965885125258E-3</v>
      </c>
      <c r="C145">
        <f>LN(Prices!C146/Prices!C145)</f>
        <v>4.4595602713854857E-3</v>
      </c>
      <c r="D145">
        <f>LN(Prices!D146/Prices!D145)</f>
        <v>2.3579533841993337E-3</v>
      </c>
    </row>
    <row r="146" spans="1:4" x14ac:dyDescent="0.3">
      <c r="A146" s="5">
        <f>Prices!A146</f>
        <v>45895</v>
      </c>
      <c r="B146">
        <f>LN(Prices!B147/Prices!B146)</f>
        <v>9.7295061545174637E-3</v>
      </c>
      <c r="C146">
        <f>LN(Prices!C147/Prices!C146)</f>
        <v>1.169296983739075E-2</v>
      </c>
      <c r="D146">
        <f>LN(Prices!D147/Prices!D146)</f>
        <v>9.5913629502053111E-3</v>
      </c>
    </row>
    <row r="147" spans="1:4" x14ac:dyDescent="0.3">
      <c r="A147" s="5">
        <f>Prices!A147</f>
        <v>45896</v>
      </c>
      <c r="B147">
        <f>LN(Prices!B148/Prices!B147)</f>
        <v>-1.8248065932903047E-2</v>
      </c>
      <c r="C147">
        <f>LN(Prices!C148/Prices!C147)</f>
        <v>-1.628460225003028E-2</v>
      </c>
      <c r="D147">
        <f>LN(Prices!D148/Prices!D147)</f>
        <v>-1.8386209137215635E-2</v>
      </c>
    </row>
    <row r="148" spans="1:4" x14ac:dyDescent="0.3">
      <c r="A148" s="5">
        <f>Prices!A148</f>
        <v>45897</v>
      </c>
      <c r="B148">
        <f>LN(Prices!B149/Prices!B148)</f>
        <v>-1.9405348957988816E-2</v>
      </c>
      <c r="C148">
        <f>LN(Prices!C149/Prices!C148)</f>
        <v>-1.7441885275115945E-2</v>
      </c>
      <c r="D148">
        <f>LN(Prices!D149/Prices!D148)</f>
        <v>-1.9543492162301529E-2</v>
      </c>
    </row>
    <row r="149" spans="1:4" x14ac:dyDescent="0.3">
      <c r="A149" s="5">
        <f>Prices!A149</f>
        <v>45898</v>
      </c>
      <c r="B149">
        <f>LN(Prices!B150/Prices!B149)</f>
        <v>6.1278897871622834E-3</v>
      </c>
      <c r="C149">
        <f>LN(Prices!C150/Prices!C149)</f>
        <v>8.091353470035775E-3</v>
      </c>
      <c r="D149">
        <f>LN(Prices!D150/Prices!D149)</f>
        <v>5.9897465828499712E-3</v>
      </c>
    </row>
    <row r="150" spans="1:4" x14ac:dyDescent="0.3">
      <c r="A150" s="5">
        <f>Prices!A150</f>
        <v>45901</v>
      </c>
      <c r="B150">
        <f>LN(Prices!B151/Prices!B150)</f>
        <v>3.0102803002434761E-3</v>
      </c>
      <c r="C150">
        <f>LN(Prices!C151/Prices!C150)</f>
        <v>4.9737439831164477E-3</v>
      </c>
      <c r="D150">
        <f>LN(Prices!D151/Prices!D150)</f>
        <v>2.8721370959309627E-3</v>
      </c>
    </row>
    <row r="151" spans="1:4" x14ac:dyDescent="0.3">
      <c r="A151" s="5">
        <f>Prices!A151</f>
        <v>45902</v>
      </c>
      <c r="B151">
        <f>LN(Prices!B152/Prices!B151)</f>
        <v>2.3659641978929775E-3</v>
      </c>
      <c r="C151">
        <f>LN(Prices!C152/Prices!C151)</f>
        <v>4.3294278807661964E-3</v>
      </c>
      <c r="D151">
        <f>LN(Prices!D152/Prices!D151)</f>
        <v>2.2278209935802846E-3</v>
      </c>
    </row>
    <row r="152" spans="1:4" x14ac:dyDescent="0.3">
      <c r="A152" s="5">
        <f>Prices!A152</f>
        <v>45903</v>
      </c>
      <c r="B152">
        <f>LN(Prices!B153/Prices!B152)</f>
        <v>3.6957804788715909E-3</v>
      </c>
      <c r="C152">
        <f>LN(Prices!C153/Prices!C152)</f>
        <v>5.6592441617442351E-3</v>
      </c>
      <c r="D152">
        <f>LN(Prices!D153/Prices!D152)</f>
        <v>3.5576372745586321E-3</v>
      </c>
    </row>
    <row r="153" spans="1:4" x14ac:dyDescent="0.3">
      <c r="A153" s="5">
        <f>Prices!A153</f>
        <v>45904</v>
      </c>
      <c r="B153">
        <f>LN(Prices!B154/Prices!B153)</f>
        <v>-1.0529797204375003E-2</v>
      </c>
      <c r="C153">
        <f>LN(Prices!C154/Prices!C153)</f>
        <v>-8.5663335215017469E-3</v>
      </c>
      <c r="D153">
        <f>LN(Prices!D154/Prices!D153)</f>
        <v>-1.0667940408687982E-2</v>
      </c>
    </row>
    <row r="154" spans="1:4" x14ac:dyDescent="0.3">
      <c r="A154" s="5">
        <f>Prices!A154</f>
        <v>45905</v>
      </c>
      <c r="B154">
        <f>LN(Prices!B155/Prices!B154)</f>
        <v>2.1131932940987043E-3</v>
      </c>
      <c r="C154">
        <f>LN(Prices!C155/Prices!C154)</f>
        <v>4.0766569769716213E-3</v>
      </c>
      <c r="D154">
        <f>LN(Prices!D155/Prices!D154)</f>
        <v>1.9750500897863814E-3</v>
      </c>
    </row>
    <row r="155" spans="1:4" x14ac:dyDescent="0.3">
      <c r="A155" s="5">
        <f>Prices!A155</f>
        <v>45908</v>
      </c>
      <c r="B155">
        <f>LN(Prices!B156/Prices!B155)</f>
        <v>2.9560623054032224E-3</v>
      </c>
      <c r="C155">
        <f>LN(Prices!C156/Prices!C155)</f>
        <v>4.9195259882766377E-3</v>
      </c>
      <c r="D155">
        <f>LN(Prices!D156/Prices!D155)</f>
        <v>2.8179191010906488E-3</v>
      </c>
    </row>
    <row r="156" spans="1:4" x14ac:dyDescent="0.3">
      <c r="A156" s="5">
        <f>Prices!A156</f>
        <v>45909</v>
      </c>
      <c r="B156">
        <f>LN(Prices!B157/Prices!B156)</f>
        <v>-1.1005520501253996E-2</v>
      </c>
      <c r="C156">
        <f>LN(Prices!C157/Prices!C156)</f>
        <v>-9.0420568183814977E-3</v>
      </c>
      <c r="D156">
        <f>LN(Prices!D157/Prices!D156)</f>
        <v>-1.1143663705566709E-2</v>
      </c>
    </row>
    <row r="157" spans="1:4" x14ac:dyDescent="0.3">
      <c r="A157" s="5">
        <f>Prices!A157</f>
        <v>45910</v>
      </c>
      <c r="B157">
        <f>LN(Prices!B158/Prices!B157)</f>
        <v>2.4751663859687748E-2</v>
      </c>
      <c r="C157">
        <f>LN(Prices!C158/Prices!C157)</f>
        <v>2.671512754256113E-2</v>
      </c>
      <c r="D157">
        <f>LN(Prices!D158/Prices!D157)</f>
        <v>2.4613520655375431E-2</v>
      </c>
    </row>
    <row r="158" spans="1:4" x14ac:dyDescent="0.3">
      <c r="A158" s="5">
        <f>Prices!A158</f>
        <v>45911</v>
      </c>
      <c r="B158">
        <f>LN(Prices!B159/Prices!B158)</f>
        <v>5.4611666405799692E-3</v>
      </c>
      <c r="C158">
        <f>LN(Prices!C159/Prices!C158)</f>
        <v>7.4246303234531052E-3</v>
      </c>
      <c r="D158">
        <f>LN(Prices!D159/Prices!D158)</f>
        <v>5.3230234362673136E-3</v>
      </c>
    </row>
    <row r="159" spans="1:4" x14ac:dyDescent="0.3">
      <c r="A159" s="5">
        <f>Prices!A159</f>
        <v>45912</v>
      </c>
      <c r="B159">
        <f>LN(Prices!B160/Prices!B159)</f>
        <v>-1.7615455013993413E-2</v>
      </c>
      <c r="C159">
        <f>LN(Prices!C160/Prices!C159)</f>
        <v>-1.5651991331120434E-2</v>
      </c>
      <c r="D159">
        <f>LN(Prices!D160/Prices!D159)</f>
        <v>-1.7753598218306098E-2</v>
      </c>
    </row>
    <row r="160" spans="1:4" x14ac:dyDescent="0.3">
      <c r="A160" s="5">
        <f>Prices!A160</f>
        <v>45915</v>
      </c>
      <c r="B160">
        <f>LN(Prices!B161/Prices!B160)</f>
        <v>7.9934373501471638E-3</v>
      </c>
      <c r="C160">
        <f>LN(Prices!C161/Prices!C160)</f>
        <v>9.9569010330207847E-3</v>
      </c>
      <c r="D160">
        <f>LN(Prices!D161/Prices!D160)</f>
        <v>7.8552941458346313E-3</v>
      </c>
    </row>
    <row r="161" spans="1:4" x14ac:dyDescent="0.3">
      <c r="A161" s="5">
        <f>Prices!A161</f>
        <v>45916</v>
      </c>
      <c r="B161">
        <f>LN(Prices!B162/Prices!B161)</f>
        <v>-1.4613358675908662E-2</v>
      </c>
      <c r="C161">
        <f>LN(Prices!C162/Prices!C161)</f>
        <v>-1.2649894993036141E-2</v>
      </c>
      <c r="D161">
        <f>LN(Prices!D162/Prices!D161)</f>
        <v>-1.4751501880221772E-2</v>
      </c>
    </row>
    <row r="162" spans="1:4" x14ac:dyDescent="0.3">
      <c r="A162" s="5">
        <f>Prices!A162</f>
        <v>45917</v>
      </c>
      <c r="B162">
        <f>LN(Prices!B163/Prices!B162)</f>
        <v>9.8024269053261521E-3</v>
      </c>
      <c r="C162">
        <f>LN(Prices!C163/Prices!C162)</f>
        <v>1.176589058819905E-2</v>
      </c>
      <c r="D162">
        <f>LN(Prices!D163/Prices!D162)</f>
        <v>9.6642837010135502E-3</v>
      </c>
    </row>
    <row r="163" spans="1:4" x14ac:dyDescent="0.3">
      <c r="A163" s="5">
        <f>Prices!A163</f>
        <v>45918</v>
      </c>
      <c r="B163">
        <f>LN(Prices!B164/Prices!B163)</f>
        <v>1.4951085071375358E-2</v>
      </c>
      <c r="C163">
        <f>LN(Prices!C164/Prices!C163)</f>
        <v>1.6914548754248672E-2</v>
      </c>
      <c r="D163">
        <f>LN(Prices!D164/Prices!D163)</f>
        <v>1.4812941867062689E-2</v>
      </c>
    </row>
    <row r="164" spans="1:4" x14ac:dyDescent="0.3">
      <c r="A164" s="5">
        <f>Prices!A164</f>
        <v>45919</v>
      </c>
      <c r="B164">
        <f>LN(Prices!B165/Prices!B164)</f>
        <v>-1.2479128267143133E-2</v>
      </c>
      <c r="C164">
        <f>LN(Prices!C165/Prices!C164)</f>
        <v>-1.0515664584270921E-2</v>
      </c>
      <c r="D164">
        <f>LN(Prices!D165/Prices!D164)</f>
        <v>-1.2617271471456153E-2</v>
      </c>
    </row>
    <row r="165" spans="1:4" x14ac:dyDescent="0.3">
      <c r="A165" s="5">
        <f>Prices!A165</f>
        <v>45922</v>
      </c>
      <c r="B165">
        <f>LN(Prices!B166/Prices!B165)</f>
        <v>1.2245597801510417E-2</v>
      </c>
      <c r="C165">
        <f>LN(Prices!C166/Prices!C165)</f>
        <v>1.4209061484384071E-2</v>
      </c>
      <c r="D165">
        <f>LN(Prices!D166/Prices!D165)</f>
        <v>1.2107454597198215E-2</v>
      </c>
    </row>
    <row r="166" spans="1:4" x14ac:dyDescent="0.3">
      <c r="A166" s="5">
        <f>Prices!A166</f>
        <v>45923</v>
      </c>
      <c r="B166">
        <f>LN(Prices!B167/Prices!B166)</f>
        <v>4.6150655338489301E-3</v>
      </c>
      <c r="C166">
        <f>LN(Prices!C167/Prices!C166)</f>
        <v>6.5785292167217426E-3</v>
      </c>
      <c r="D166">
        <f>LN(Prices!D167/Prices!D166)</f>
        <v>4.4769223295361357E-3</v>
      </c>
    </row>
    <row r="167" spans="1:4" x14ac:dyDescent="0.3">
      <c r="A167" s="5">
        <f>Prices!A167</f>
        <v>45924</v>
      </c>
      <c r="B167">
        <f>LN(Prices!B168/Prices!B167)</f>
        <v>1.0287142553849653E-2</v>
      </c>
      <c r="C167">
        <f>LN(Prices!C168/Prices!C167)</f>
        <v>1.2250606236723076E-2</v>
      </c>
      <c r="D167">
        <f>LN(Prices!D168/Prices!D167)</f>
        <v>1.014899934953746E-2</v>
      </c>
    </row>
    <row r="168" spans="1:4" x14ac:dyDescent="0.3">
      <c r="A168" s="5">
        <f>Prices!A168</f>
        <v>45925</v>
      </c>
      <c r="B168">
        <f>LN(Prices!B169/Prices!B168)</f>
        <v>2.5181539468397442E-2</v>
      </c>
      <c r="C168">
        <f>LN(Prices!C169/Prices!C168)</f>
        <v>2.7145003151269716E-2</v>
      </c>
      <c r="D168">
        <f>LN(Prices!D169/Prices!D168)</f>
        <v>2.5043396264084538E-2</v>
      </c>
    </row>
    <row r="169" spans="1:4" x14ac:dyDescent="0.3">
      <c r="A169" s="5">
        <f>Prices!A169</f>
        <v>45926</v>
      </c>
      <c r="B169">
        <f>LN(Prices!B170/Prices!B169)</f>
        <v>-4.5063000332218285E-3</v>
      </c>
      <c r="C169">
        <f>LN(Prices!C170/Prices!C169)</f>
        <v>-2.5428363503490069E-3</v>
      </c>
      <c r="D169">
        <f>LN(Prices!D170/Prices!D169)</f>
        <v>-4.6444432375345466E-3</v>
      </c>
    </row>
    <row r="170" spans="1:4" x14ac:dyDescent="0.3">
      <c r="A170" s="5">
        <f>Prices!A170</f>
        <v>45929</v>
      </c>
      <c r="B170">
        <f>LN(Prices!B171/Prices!B170)</f>
        <v>-1.1551341780614736E-2</v>
      </c>
      <c r="C170">
        <f>LN(Prices!C171/Prices!C170)</f>
        <v>-9.5878780977413664E-3</v>
      </c>
      <c r="D170">
        <f>LN(Prices!D171/Prices!D170)</f>
        <v>-1.1689484984927539E-2</v>
      </c>
    </row>
    <row r="171" spans="1:4" x14ac:dyDescent="0.3">
      <c r="A171" s="5">
        <f>Prices!A171</f>
        <v>45930</v>
      </c>
      <c r="B171">
        <f>LN(Prices!B172/Prices!B171)</f>
        <v>-1.3433051664812796E-2</v>
      </c>
      <c r="C171">
        <f>LN(Prices!C172/Prices!C171)</f>
        <v>-1.1469587981940157E-2</v>
      </c>
      <c r="D171">
        <f>LN(Prices!D172/Prices!D171)</f>
        <v>-1.3571194869125353E-2</v>
      </c>
    </row>
    <row r="172" spans="1:4" x14ac:dyDescent="0.3">
      <c r="A172" s="5">
        <f>Prices!A172</f>
        <v>45931</v>
      </c>
      <c r="B172">
        <f>LN(Prices!B173/Prices!B172)</f>
        <v>-1.2411608230995129E-2</v>
      </c>
      <c r="C172">
        <f>LN(Prices!C173/Prices!C172)</f>
        <v>-1.0448144548121553E-2</v>
      </c>
      <c r="D172">
        <f>LN(Prices!D173/Prices!D172)</f>
        <v>-1.2549751435307526E-2</v>
      </c>
    </row>
    <row r="173" spans="1:4" x14ac:dyDescent="0.3">
      <c r="A173" s="5">
        <f>Prices!A173</f>
        <v>45932</v>
      </c>
      <c r="B173">
        <f>LN(Prices!B174/Prices!B173)</f>
        <v>-2.1740696572539438E-3</v>
      </c>
      <c r="C173">
        <f>LN(Prices!C174/Prices!C173)</f>
        <v>-2.1060597438099033E-4</v>
      </c>
      <c r="D173">
        <f>LN(Prices!D174/Prices!D173)</f>
        <v>-2.3122128615666996E-3</v>
      </c>
    </row>
    <row r="174" spans="1:4" x14ac:dyDescent="0.3">
      <c r="A174" s="5">
        <f>Prices!A174</f>
        <v>45933</v>
      </c>
      <c r="B174">
        <f>LN(Prices!B175/Prices!B174)</f>
        <v>3.6223815653753885E-3</v>
      </c>
      <c r="C174">
        <f>LN(Prices!C175/Prices!C174)</f>
        <v>5.5858452482486108E-3</v>
      </c>
      <c r="D174">
        <f>LN(Prices!D175/Prices!D174)</f>
        <v>3.4842383610630178E-3</v>
      </c>
    </row>
    <row r="175" spans="1:4" x14ac:dyDescent="0.3">
      <c r="A175" s="5">
        <f>Prices!A175</f>
        <v>45936</v>
      </c>
      <c r="B175">
        <f>LN(Prices!B176/Prices!B175)</f>
        <v>2.7290336438891209E-3</v>
      </c>
      <c r="C175">
        <f>LN(Prices!C176/Prices!C175)</f>
        <v>4.6924973267622374E-3</v>
      </c>
      <c r="D175">
        <f>LN(Prices!D176/Prices!D175)</f>
        <v>2.5908904395763911E-3</v>
      </c>
    </row>
    <row r="176" spans="1:4" x14ac:dyDescent="0.3">
      <c r="A176" s="5">
        <f>Prices!A176</f>
        <v>45937</v>
      </c>
      <c r="B176">
        <f>LN(Prices!B177/Prices!B176)</f>
        <v>1.0358141894341168E-2</v>
      </c>
      <c r="C176">
        <f>LN(Prices!C177/Prices!C176)</f>
        <v>1.2321605577213908E-2</v>
      </c>
      <c r="D176">
        <f>LN(Prices!D177/Prices!D176)</f>
        <v>1.0219998690028613E-2</v>
      </c>
    </row>
    <row r="177" spans="1:4" x14ac:dyDescent="0.3">
      <c r="A177" s="5">
        <f>Prices!A177</f>
        <v>45938</v>
      </c>
      <c r="B177">
        <f>LN(Prices!B178/Prices!B177)</f>
        <v>-9.2535111737313003E-4</v>
      </c>
      <c r="C177">
        <f>LN(Prices!C178/Prices!C177)</f>
        <v>1.0381125655000685E-3</v>
      </c>
      <c r="D177">
        <f>LN(Prices!D178/Prices!D177)</f>
        <v>-1.063494321685928E-3</v>
      </c>
    </row>
    <row r="178" spans="1:4" x14ac:dyDescent="0.3">
      <c r="A178" s="5">
        <f>Prices!A178</f>
        <v>45939</v>
      </c>
      <c r="B178">
        <f>LN(Prices!B179/Prices!B178)</f>
        <v>1.90385484522319E-2</v>
      </c>
      <c r="C178">
        <f>LN(Prices!C179/Prices!C178)</f>
        <v>2.1002012135105042E-2</v>
      </c>
      <c r="D178">
        <f>LN(Prices!D179/Prices!D178)</f>
        <v>1.8900405247919499E-2</v>
      </c>
    </row>
    <row r="179" spans="1:4" x14ac:dyDescent="0.3">
      <c r="A179" s="5">
        <f>Prices!A179</f>
        <v>45940</v>
      </c>
      <c r="B179">
        <f>LN(Prices!B180/Prices!B179)</f>
        <v>-4.7733393535833281E-3</v>
      </c>
      <c r="C179">
        <f>LN(Prices!C180/Prices!C179)</f>
        <v>-2.8098756707106861E-3</v>
      </c>
      <c r="D179">
        <f>LN(Prices!D180/Prices!D179)</f>
        <v>-4.9114825578963229E-3</v>
      </c>
    </row>
    <row r="180" spans="1:4" x14ac:dyDescent="0.3">
      <c r="A180" s="5">
        <f>Prices!A180</f>
        <v>45943</v>
      </c>
      <c r="B180">
        <f>LN(Prices!B181/Prices!B180)</f>
        <v>3.6592460801548356E-2</v>
      </c>
      <c r="C180">
        <f>LN(Prices!C181/Prices!C180)</f>
        <v>3.8555924484422147E-2</v>
      </c>
      <c r="D180">
        <f>LN(Prices!D181/Prices!D180)</f>
        <v>3.6454317597236344E-2</v>
      </c>
    </row>
    <row r="181" spans="1:4" x14ac:dyDescent="0.3">
      <c r="A181" s="5">
        <f>Prices!A181</f>
        <v>45944</v>
      </c>
      <c r="B181">
        <f>LN(Prices!B182/Prices!B181)</f>
        <v>7.5653940086889181E-3</v>
      </c>
      <c r="C181">
        <f>LN(Prices!C182/Prices!C181)</f>
        <v>9.5288576915619309E-3</v>
      </c>
      <c r="D181">
        <f>LN(Prices!D182/Prices!D181)</f>
        <v>7.4272508043759632E-3</v>
      </c>
    </row>
    <row r="182" spans="1:4" x14ac:dyDescent="0.3">
      <c r="A182" s="5">
        <f>Prices!A182</f>
        <v>45945</v>
      </c>
      <c r="B182">
        <f>LN(Prices!B183/Prices!B182)</f>
        <v>-1.2984627552018804E-2</v>
      </c>
      <c r="C182">
        <f>LN(Prices!C183/Prices!C182)</f>
        <v>-1.102116386914557E-2</v>
      </c>
      <c r="D182">
        <f>LN(Prices!D183/Prices!D182)</f>
        <v>-1.3122770756331508E-2</v>
      </c>
    </row>
    <row r="183" spans="1:4" x14ac:dyDescent="0.3">
      <c r="A183" s="5">
        <f>Prices!A183</f>
        <v>45946</v>
      </c>
      <c r="B183">
        <f>LN(Prices!B184/Prices!B183)</f>
        <v>-1.594671542004146E-2</v>
      </c>
      <c r="C183">
        <f>LN(Prices!C184/Prices!C183)</f>
        <v>-1.3983251737169021E-2</v>
      </c>
      <c r="D183">
        <f>LN(Prices!D184/Prices!D183)</f>
        <v>-1.608485862435409E-2</v>
      </c>
    </row>
    <row r="184" spans="1:4" x14ac:dyDescent="0.3">
      <c r="A184" s="5">
        <f>Prices!A184</f>
        <v>45947</v>
      </c>
      <c r="B184">
        <f>LN(Prices!B185/Prices!B184)</f>
        <v>5.5808987777213144E-3</v>
      </c>
      <c r="C184">
        <f>LN(Prices!C185/Prices!C184)</f>
        <v>7.5443624605945718E-3</v>
      </c>
      <c r="D184">
        <f>LN(Prices!D185/Prices!D184)</f>
        <v>5.4427555734088938E-3</v>
      </c>
    </row>
    <row r="185" spans="1:4" x14ac:dyDescent="0.3">
      <c r="A185" s="5">
        <f>Prices!A185</f>
        <v>45950</v>
      </c>
      <c r="B185">
        <f>LN(Prices!B186/Prices!B185)</f>
        <v>-4.2024435112092097E-3</v>
      </c>
      <c r="C185">
        <f>LN(Prices!C186/Prices!C185)</f>
        <v>-2.2389798283358703E-3</v>
      </c>
      <c r="D185">
        <f>LN(Prices!D186/Prices!D185)</f>
        <v>-4.3405867155218089E-3</v>
      </c>
    </row>
    <row r="186" spans="1:4" x14ac:dyDescent="0.3">
      <c r="A186" s="5">
        <f>Prices!A186</f>
        <v>45951</v>
      </c>
      <c r="B186">
        <f>LN(Prices!B187/Prices!B186)</f>
        <v>8.7895763490498206E-3</v>
      </c>
      <c r="C186">
        <f>LN(Prices!C187/Prices!C186)</f>
        <v>1.0753040031923152E-2</v>
      </c>
      <c r="D186">
        <f>LN(Prices!D187/Prices!D186)</f>
        <v>8.6514331447376264E-3</v>
      </c>
    </row>
    <row r="187" spans="1:4" x14ac:dyDescent="0.3">
      <c r="A187" s="5">
        <f>Prices!A187</f>
        <v>45952</v>
      </c>
      <c r="B187">
        <f>LN(Prices!B188/Prices!B187)</f>
        <v>5.4529166087989404E-3</v>
      </c>
      <c r="C187">
        <f>LN(Prices!C188/Prices!C187)</f>
        <v>7.4163802916718362E-3</v>
      </c>
      <c r="D187">
        <f>LN(Prices!D188/Prices!D187)</f>
        <v>5.314773404486048E-3</v>
      </c>
    </row>
    <row r="188" spans="1:4" x14ac:dyDescent="0.3">
      <c r="A188" s="5">
        <f>Prices!A188</f>
        <v>45953</v>
      </c>
      <c r="B188">
        <f>LN(Prices!B189/Prices!B188)</f>
        <v>-2.1148542601848027E-3</v>
      </c>
      <c r="C188">
        <f>LN(Prices!C189/Prices!C188)</f>
        <v>-1.5139057731214026E-4</v>
      </c>
      <c r="D188">
        <f>LN(Prices!D189/Prices!D188)</f>
        <v>-2.2529974644971908E-3</v>
      </c>
    </row>
    <row r="189" spans="1:4" x14ac:dyDescent="0.3">
      <c r="A189" s="5">
        <f>Prices!A189</f>
        <v>45954</v>
      </c>
      <c r="B189">
        <f>LN(Prices!B190/Prices!B189)</f>
        <v>-1.2840998253036327E-2</v>
      </c>
      <c r="C189">
        <f>LN(Prices!C190/Prices!C189)</f>
        <v>-1.0877534570162949E-2</v>
      </c>
      <c r="D189">
        <f>LN(Prices!D190/Prices!D189)</f>
        <v>-1.2979141457349495E-2</v>
      </c>
    </row>
    <row r="190" spans="1:4" x14ac:dyDescent="0.3">
      <c r="A190" s="5">
        <f>Prices!A190</f>
        <v>45957</v>
      </c>
      <c r="B190">
        <f>LN(Prices!B191/Prices!B190)</f>
        <v>-2.2099349610626581E-2</v>
      </c>
      <c r="C190">
        <f>LN(Prices!C191/Prices!C190)</f>
        <v>-2.0135885927753693E-2</v>
      </c>
      <c r="D190">
        <f>LN(Prices!D191/Prices!D190)</f>
        <v>-2.2237492814939235E-2</v>
      </c>
    </row>
    <row r="191" spans="1:4" x14ac:dyDescent="0.3">
      <c r="A191" s="5">
        <f>Prices!A191</f>
        <v>45958</v>
      </c>
      <c r="B191">
        <f>LN(Prices!B192/Prices!B191)</f>
        <v>-7.2936559819251267E-3</v>
      </c>
      <c r="C191">
        <f>LN(Prices!C192/Prices!C191)</f>
        <v>-5.3301922990521442E-3</v>
      </c>
      <c r="D191">
        <f>LN(Prices!D192/Prices!D191)</f>
        <v>-7.4317991862378665E-3</v>
      </c>
    </row>
    <row r="192" spans="1:4" x14ac:dyDescent="0.3">
      <c r="A192" s="5">
        <f>Prices!A192</f>
        <v>45959</v>
      </c>
      <c r="B192">
        <f>LN(Prices!B193/Prices!B192)</f>
        <v>1.0763031294210121E-2</v>
      </c>
      <c r="C192">
        <f>LN(Prices!C193/Prices!C192)</f>
        <v>1.2726494977082949E-2</v>
      </c>
      <c r="D192">
        <f>LN(Prices!D193/Prices!D192)</f>
        <v>1.0624888089897682E-2</v>
      </c>
    </row>
    <row r="193" spans="1:4" x14ac:dyDescent="0.3">
      <c r="A193" s="5">
        <f>Prices!A193</f>
        <v>45960</v>
      </c>
      <c r="B193">
        <f>LN(Prices!B194/Prices!B193)</f>
        <v>1.8615200012699034E-3</v>
      </c>
      <c r="C193">
        <f>LN(Prices!C194/Prices!C193)</f>
        <v>3.8249836841427192E-3</v>
      </c>
      <c r="D193">
        <f>LN(Prices!D194/Prices!D193)</f>
        <v>1.7233767969568831E-3</v>
      </c>
    </row>
    <row r="194" spans="1:4" x14ac:dyDescent="0.3">
      <c r="A194" s="5">
        <f>Prices!A194</f>
        <v>45961</v>
      </c>
      <c r="B194">
        <f>LN(Prices!B195/Prices!B194)</f>
        <v>-1.8369857105249087E-2</v>
      </c>
      <c r="C194">
        <f>LN(Prices!C195/Prices!C194)</f>
        <v>-1.6406393422375595E-2</v>
      </c>
      <c r="D194">
        <f>LN(Prices!D195/Prices!D194)</f>
        <v>-1.8508000309561311E-2</v>
      </c>
    </row>
    <row r="195" spans="1:4" x14ac:dyDescent="0.3">
      <c r="A195" s="5">
        <f>Prices!A195</f>
        <v>45964</v>
      </c>
      <c r="B195">
        <f>LN(Prices!B196/Prices!B195)</f>
        <v>1.2945216352644037E-3</v>
      </c>
      <c r="C195">
        <f>LN(Prices!C196/Prices!C195)</f>
        <v>3.2579853181371006E-3</v>
      </c>
      <c r="D195">
        <f>LN(Prices!D196/Prices!D195)</f>
        <v>1.1563784309512489E-3</v>
      </c>
    </row>
    <row r="196" spans="1:4" x14ac:dyDescent="0.3">
      <c r="A196" s="5">
        <f>Prices!A196</f>
        <v>45965</v>
      </c>
      <c r="B196">
        <f>LN(Prices!B197/Prices!B196)</f>
        <v>4.2344565451142464E-3</v>
      </c>
      <c r="C196">
        <f>LN(Prices!C197/Prices!C196)</f>
        <v>6.1979202279873902E-3</v>
      </c>
      <c r="D196">
        <f>LN(Prices!D197/Prices!D196)</f>
        <v>4.096313340801753E-3</v>
      </c>
    </row>
    <row r="197" spans="1:4" x14ac:dyDescent="0.3">
      <c r="A197" s="5">
        <f>Prices!A197</f>
        <v>45966</v>
      </c>
      <c r="B197">
        <f>LN(Prices!B198/Prices!B197)</f>
        <v>-1.3354653105069518E-2</v>
      </c>
      <c r="C197">
        <f>LN(Prices!C198/Prices!C197)</f>
        <v>-1.1391189422196002E-2</v>
      </c>
      <c r="D197">
        <f>LN(Prices!D198/Prices!D197)</f>
        <v>-1.3492796309382148E-2</v>
      </c>
    </row>
    <row r="198" spans="1:4" x14ac:dyDescent="0.3">
      <c r="A198" s="5">
        <f>Prices!A198</f>
        <v>45967</v>
      </c>
      <c r="B198">
        <f>LN(Prices!B199/Prices!B198)</f>
        <v>1.0248893156188288E-3</v>
      </c>
      <c r="C198">
        <f>LN(Prices!C199/Prices!C198)</f>
        <v>2.9883529984913583E-3</v>
      </c>
      <c r="D198">
        <f>LN(Prices!D199/Prices!D198)</f>
        <v>8.8674611130633947E-4</v>
      </c>
    </row>
    <row r="199" spans="1:4" x14ac:dyDescent="0.3">
      <c r="A199" s="5">
        <f>Prices!A199</f>
        <v>45968</v>
      </c>
      <c r="B199">
        <f>LN(Prices!B200/Prices!B199)</f>
        <v>-2.9884339009799993E-4</v>
      </c>
      <c r="C199">
        <f>LN(Prices!C200/Prices!C199)</f>
        <v>1.6646202927753217E-3</v>
      </c>
      <c r="D199">
        <f>LN(Prices!D200/Prices!D199)</f>
        <v>-4.3698659441055891E-4</v>
      </c>
    </row>
    <row r="200" spans="1:4" x14ac:dyDescent="0.3">
      <c r="A200" s="5">
        <f>Prices!A200</f>
        <v>45971</v>
      </c>
      <c r="B200">
        <f>LN(Prices!B201/Prices!B200)</f>
        <v>-1.6945619832245462E-2</v>
      </c>
      <c r="C200">
        <f>LN(Prices!C201/Prices!C200)</f>
        <v>-1.4982156149372271E-2</v>
      </c>
      <c r="D200">
        <f>LN(Prices!D201/Prices!D200)</f>
        <v>-1.708376303655814E-2</v>
      </c>
    </row>
    <row r="201" spans="1:4" x14ac:dyDescent="0.3">
      <c r="A201" s="5">
        <f>Prices!A201</f>
        <v>45972</v>
      </c>
      <c r="B201">
        <f>LN(Prices!B202/Prices!B201)</f>
        <v>3.8529263386540588E-3</v>
      </c>
      <c r="C201">
        <f>LN(Prices!C202/Prices!C201)</f>
        <v>5.8163900215270486E-3</v>
      </c>
      <c r="D201">
        <f>LN(Prices!D202/Prices!D201)</f>
        <v>3.7147831343415736E-3</v>
      </c>
    </row>
    <row r="202" spans="1:4" x14ac:dyDescent="0.3">
      <c r="A202" s="5">
        <f>Prices!A202</f>
        <v>45973</v>
      </c>
      <c r="B202">
        <f>LN(Prices!B203/Prices!B202)</f>
        <v>6.6662026241476767E-3</v>
      </c>
      <c r="C202">
        <f>LN(Prices!C203/Prices!C202)</f>
        <v>8.6296663070206236E-3</v>
      </c>
      <c r="D202">
        <f>LN(Prices!D203/Prices!D202)</f>
        <v>6.5280594198348319E-3</v>
      </c>
    </row>
    <row r="203" spans="1:4" x14ac:dyDescent="0.3">
      <c r="A203" s="5">
        <f>Prices!A203</f>
        <v>45974</v>
      </c>
      <c r="B203">
        <f>LN(Prices!B204/Prices!B203)</f>
        <v>1.3904138985049103E-2</v>
      </c>
      <c r="C203">
        <f>LN(Prices!C204/Prices!C203)</f>
        <v>1.5867602667921716E-2</v>
      </c>
      <c r="D203">
        <f>LN(Prices!D204/Prices!D203)</f>
        <v>1.3765995780736546E-2</v>
      </c>
    </row>
    <row r="204" spans="1:4" x14ac:dyDescent="0.3">
      <c r="A204" s="5">
        <f>Prices!A204</f>
        <v>45975</v>
      </c>
      <c r="B204">
        <f>LN(Prices!B205/Prices!B204)</f>
        <v>1.3498783297487195E-2</v>
      </c>
      <c r="C204">
        <f>LN(Prices!C205/Prices!C204)</f>
        <v>1.5462246980360823E-2</v>
      </c>
      <c r="D204">
        <f>LN(Prices!D205/Prices!D204)</f>
        <v>1.3360640093174753E-2</v>
      </c>
    </row>
    <row r="205" spans="1:4" x14ac:dyDescent="0.3">
      <c r="A205" s="5">
        <f>Prices!A205</f>
        <v>45978</v>
      </c>
      <c r="B205">
        <f>LN(Prices!B206/Prices!B205)</f>
        <v>-2.0198243211968486E-2</v>
      </c>
      <c r="C205">
        <f>LN(Prices!C206/Prices!C205)</f>
        <v>-1.8234779529095687E-2</v>
      </c>
      <c r="D205">
        <f>LN(Prices!D206/Prices!D205)</f>
        <v>-2.0336386416280966E-2</v>
      </c>
    </row>
    <row r="206" spans="1:4" x14ac:dyDescent="0.3">
      <c r="A206" s="5">
        <f>Prices!A206</f>
        <v>45979</v>
      </c>
      <c r="B206">
        <f>LN(Prices!B207/Prices!B206)</f>
        <v>-1.4102573791305173E-2</v>
      </c>
      <c r="C206">
        <f>LN(Prices!C207/Prices!C206)</f>
        <v>-1.2139110108432024E-2</v>
      </c>
      <c r="D206">
        <f>LN(Prices!D207/Prices!D206)</f>
        <v>-1.424071699561778E-2</v>
      </c>
    </row>
    <row r="207" spans="1:4" x14ac:dyDescent="0.3">
      <c r="A207" s="5">
        <f>Prices!A207</f>
        <v>45980</v>
      </c>
      <c r="B207">
        <f>LN(Prices!B208/Prices!B207)</f>
        <v>6.0321774877580914E-3</v>
      </c>
      <c r="C207">
        <f>LN(Prices!C208/Prices!C207)</f>
        <v>7.9956411706306445E-3</v>
      </c>
      <c r="D207">
        <f>LN(Prices!D208/Prices!D207)</f>
        <v>5.894034283445009E-3</v>
      </c>
    </row>
    <row r="208" spans="1:4" x14ac:dyDescent="0.3">
      <c r="A208" s="5">
        <f>Prices!A208</f>
        <v>45981</v>
      </c>
      <c r="B208">
        <f>LN(Prices!B209/Prices!B208)</f>
        <v>6.014863591318342E-3</v>
      </c>
      <c r="C208">
        <f>LN(Prices!C209/Prices!C208)</f>
        <v>7.978327274191753E-3</v>
      </c>
      <c r="D208">
        <f>LN(Prices!D209/Prices!D208)</f>
        <v>5.8767203870062441E-3</v>
      </c>
    </row>
    <row r="209" spans="1:4" x14ac:dyDescent="0.3">
      <c r="A209" s="5">
        <f>Prices!A209</f>
        <v>45982</v>
      </c>
      <c r="B209">
        <f>LN(Prices!B210/Prices!B209)</f>
        <v>6.0323496002695608E-3</v>
      </c>
      <c r="C209">
        <f>LN(Prices!C210/Prices!C209)</f>
        <v>7.9958132831425468E-3</v>
      </c>
      <c r="D209">
        <f>LN(Prices!D210/Prices!D209)</f>
        <v>5.8942063959566563E-3</v>
      </c>
    </row>
    <row r="210" spans="1:4" x14ac:dyDescent="0.3">
      <c r="A210" s="5">
        <f>Prices!A210</f>
        <v>45985</v>
      </c>
      <c r="B210">
        <f>LN(Prices!B211/Prices!B210)</f>
        <v>5.228829927361256E-2</v>
      </c>
      <c r="C210">
        <f>LN(Prices!C211/Prices!C210)</f>
        <v>5.4251762956485726E-2</v>
      </c>
      <c r="D210">
        <f>LN(Prices!D211/Prices!D210)</f>
        <v>5.2150156069299569E-2</v>
      </c>
    </row>
    <row r="211" spans="1:4" x14ac:dyDescent="0.3">
      <c r="A211" s="5">
        <f>Prices!A211</f>
        <v>45986</v>
      </c>
      <c r="B211">
        <f>LN(Prices!B212/Prices!B211)</f>
        <v>6.8062584022668734E-3</v>
      </c>
      <c r="C211">
        <f>LN(Prices!C212/Prices!C211)</f>
        <v>8.7697220851397344E-3</v>
      </c>
      <c r="D211">
        <f>LN(Prices!D212/Prices!D211)</f>
        <v>6.6681151979539081E-3</v>
      </c>
    </row>
    <row r="212" spans="1:4" x14ac:dyDescent="0.3">
      <c r="A212" s="5">
        <f>Prices!A212</f>
        <v>45987</v>
      </c>
      <c r="B212">
        <f>LN(Prices!B213/Prices!B212)</f>
        <v>1.4631920119331192E-2</v>
      </c>
      <c r="C212">
        <f>LN(Prices!C213/Prices!C212)</f>
        <v>1.6595383802204371E-2</v>
      </c>
      <c r="D212">
        <f>LN(Prices!D213/Prices!D212)</f>
        <v>1.4493776915019019E-2</v>
      </c>
    </row>
    <row r="213" spans="1:4" x14ac:dyDescent="0.3">
      <c r="A213" s="5">
        <f>Prices!A213</f>
        <v>45988</v>
      </c>
      <c r="B213">
        <f>LN(Prices!B214/Prices!B213)</f>
        <v>1.2115681303777447E-2</v>
      </c>
      <c r="C213">
        <f>LN(Prices!C214/Prices!C213)</f>
        <v>1.4079144986649994E-2</v>
      </c>
      <c r="D213">
        <f>LN(Prices!D214/Prices!D213)</f>
        <v>1.1977538099464537E-2</v>
      </c>
    </row>
    <row r="214" spans="1:4" x14ac:dyDescent="0.3">
      <c r="A214" s="5">
        <f>Prices!A214</f>
        <v>45989</v>
      </c>
      <c r="B214">
        <f>LN(Prices!B215/Prices!B214)</f>
        <v>7.9218938023582069E-3</v>
      </c>
      <c r="C214">
        <f>LN(Prices!C215/Prices!C214)</f>
        <v>9.8853574852313161E-3</v>
      </c>
      <c r="D214">
        <f>LN(Prices!D215/Prices!D214)</f>
        <v>7.7837505980459009E-3</v>
      </c>
    </row>
    <row r="215" spans="1:4" x14ac:dyDescent="0.3">
      <c r="A215" s="5">
        <f>Prices!A215</f>
        <v>45992</v>
      </c>
      <c r="B215">
        <f>LN(Prices!B216/Prices!B215)</f>
        <v>-5.474761445042566E-3</v>
      </c>
      <c r="C215">
        <f>LN(Prices!C216/Prices!C215)</f>
        <v>-3.5112977621694825E-3</v>
      </c>
      <c r="D215">
        <f>LN(Prices!D216/Prices!D215)</f>
        <v>-5.6129046493555036E-3</v>
      </c>
    </row>
    <row r="216" spans="1:4" x14ac:dyDescent="0.3">
      <c r="A216" s="5">
        <f>Prices!A216</f>
        <v>45993</v>
      </c>
      <c r="B216">
        <f>LN(Prices!B217/Prices!B216)</f>
        <v>9.4127843181744837E-3</v>
      </c>
      <c r="C216">
        <f>LN(Prices!C217/Prices!C216)</f>
        <v>1.1376248001047111E-2</v>
      </c>
      <c r="D216">
        <f>LN(Prices!D217/Prices!D216)</f>
        <v>9.2746411138615609E-3</v>
      </c>
    </row>
    <row r="217" spans="1:4" x14ac:dyDescent="0.3">
      <c r="A217" s="5">
        <f>Prices!A217</f>
        <v>45994</v>
      </c>
      <c r="B217">
        <f>LN(Prices!B218/Prices!B217)</f>
        <v>-1.1815891149638852E-2</v>
      </c>
      <c r="C217">
        <f>LN(Prices!C218/Prices!C217)</f>
        <v>-9.8524274667654184E-3</v>
      </c>
      <c r="D217">
        <f>LN(Prices!D218/Prices!D217)</f>
        <v>-1.1954034353951084E-2</v>
      </c>
    </row>
    <row r="218" spans="1:4" x14ac:dyDescent="0.3">
      <c r="A218" s="5">
        <f>Prices!A218</f>
        <v>45995</v>
      </c>
      <c r="B218">
        <f>LN(Prices!B219/Prices!B218)</f>
        <v>-4.3875377979639297E-3</v>
      </c>
      <c r="C218">
        <f>LN(Prices!C219/Prices!C218)</f>
        <v>-2.4240741150909316E-3</v>
      </c>
      <c r="D218">
        <f>LN(Prices!D219/Prices!D218)</f>
        <v>-4.5256810022768325E-3</v>
      </c>
    </row>
    <row r="219" spans="1:4" x14ac:dyDescent="0.3">
      <c r="A219" s="5">
        <f>Prices!A219</f>
        <v>45996</v>
      </c>
      <c r="B219">
        <f>LN(Prices!B220/Prices!B219)</f>
        <v>-7.832046912818403E-3</v>
      </c>
      <c r="C219">
        <f>LN(Prices!C220/Prices!C219)</f>
        <v>-5.8685832299452123E-3</v>
      </c>
      <c r="D219">
        <f>LN(Prices!D220/Prices!D219)</f>
        <v>-7.970190117131239E-3</v>
      </c>
    </row>
    <row r="220" spans="1:4" x14ac:dyDescent="0.3">
      <c r="A220" s="5">
        <f>Prices!A220</f>
        <v>45999</v>
      </c>
      <c r="B220">
        <f>LN(Prices!B221/Prices!B220)</f>
        <v>2.9128516224348434E-5</v>
      </c>
      <c r="C220">
        <f>LN(Prices!C221/Prices!C220)</f>
        <v>1.9925921990969144E-3</v>
      </c>
      <c r="D220">
        <f>LN(Prices!D221/Prices!D220)</f>
        <v>-1.0901468808797769E-4</v>
      </c>
    </row>
    <row r="221" spans="1:4" x14ac:dyDescent="0.3">
      <c r="A221" s="5">
        <f>Prices!A221</f>
        <v>46000</v>
      </c>
      <c r="B221">
        <f>LN(Prices!B222/Prices!B221)</f>
        <v>3.0972612127660722E-2</v>
      </c>
      <c r="C221">
        <f>LN(Prices!C222/Prices!C221)</f>
        <v>3.2936075810534288E-2</v>
      </c>
      <c r="D221">
        <f>LN(Prices!D222/Prices!D221)</f>
        <v>3.0834468923347784E-2</v>
      </c>
    </row>
    <row r="222" spans="1:4" x14ac:dyDescent="0.3">
      <c r="A222" s="5">
        <f>Prices!A222</f>
        <v>46001</v>
      </c>
      <c r="B222">
        <f>LN(Prices!B223/Prices!B222)</f>
        <v>-2.6983403566306012E-2</v>
      </c>
      <c r="C222">
        <f>LN(Prices!C223/Prices!C222)</f>
        <v>-2.5019939883433474E-2</v>
      </c>
      <c r="D222">
        <f>LN(Prices!D223/Prices!D222)</f>
        <v>-2.7121546770618645E-2</v>
      </c>
    </row>
    <row r="223" spans="1:4" x14ac:dyDescent="0.3">
      <c r="A223" s="5">
        <f>Prices!A223</f>
        <v>46002</v>
      </c>
      <c r="B223">
        <f>LN(Prices!B224/Prices!B223)</f>
        <v>8.4051318756065314E-3</v>
      </c>
      <c r="C223">
        <f>LN(Prices!C224/Prices!C223)</f>
        <v>1.0368595558479646E-2</v>
      </c>
      <c r="D223">
        <f>LN(Prices!D224/Prices!D223)</f>
        <v>8.2669886712943823E-3</v>
      </c>
    </row>
    <row r="224" spans="1:4" x14ac:dyDescent="0.3">
      <c r="A224" s="5">
        <f>Prices!A224</f>
        <v>46003</v>
      </c>
      <c r="B224">
        <f>LN(Prices!B225/Prices!B224)</f>
        <v>-2.3455681561957421E-2</v>
      </c>
      <c r="C224">
        <f>LN(Prices!C225/Prices!C224)</f>
        <v>-2.1492217879084063E-2</v>
      </c>
      <c r="D224">
        <f>LN(Prices!D225/Prices!D224)</f>
        <v>-2.3593824766270217E-2</v>
      </c>
    </row>
    <row r="225" spans="1:4" x14ac:dyDescent="0.3">
      <c r="A225" s="5">
        <f>Prices!A225</f>
        <v>46006</v>
      </c>
      <c r="B225">
        <f>LN(Prices!B226/Prices!B225)</f>
        <v>-7.6459012966139375E-3</v>
      </c>
      <c r="C225">
        <f>LN(Prices!C226/Prices!C225)</f>
        <v>-5.6824376137413046E-3</v>
      </c>
      <c r="D225">
        <f>LN(Prices!D226/Prices!D225)</f>
        <v>-7.784044500927052E-3</v>
      </c>
    </row>
    <row r="226" spans="1:4" x14ac:dyDescent="0.3">
      <c r="A226" s="5">
        <f>Prices!A226</f>
        <v>46007</v>
      </c>
      <c r="B226">
        <f>LN(Prices!B227/Prices!B226)</f>
        <v>1.3985896343776722E-2</v>
      </c>
      <c r="C226">
        <f>LN(Prices!C227/Prices!C226)</f>
        <v>1.5949360026650233E-2</v>
      </c>
      <c r="D226">
        <f>LN(Prices!D227/Prices!D226)</f>
        <v>1.3847753139464528E-2</v>
      </c>
    </row>
    <row r="227" spans="1:4" x14ac:dyDescent="0.3">
      <c r="A227" s="5">
        <f>Prices!A227</f>
        <v>46008</v>
      </c>
      <c r="B227">
        <f>LN(Prices!B228/Prices!B227)</f>
        <v>-2.1470307191489435E-4</v>
      </c>
      <c r="C227">
        <f>LN(Prices!C228/Prices!C227)</f>
        <v>1.7487606109581881E-3</v>
      </c>
      <c r="D227">
        <f>LN(Prices!D228/Prices!D227)</f>
        <v>-3.5284627622745928E-4</v>
      </c>
    </row>
    <row r="228" spans="1:4" x14ac:dyDescent="0.3">
      <c r="A228" s="5">
        <f>Prices!A228</f>
        <v>46009</v>
      </c>
      <c r="B228">
        <f>LN(Prices!B229/Prices!B228)</f>
        <v>-1.6041679092848971E-2</v>
      </c>
      <c r="C228">
        <f>LN(Prices!C229/Prices!C228)</f>
        <v>-1.4078215409975659E-2</v>
      </c>
      <c r="D228">
        <f>LN(Prices!D229/Prices!D228)</f>
        <v>-1.6179822297161545E-2</v>
      </c>
    </row>
    <row r="229" spans="1:4" x14ac:dyDescent="0.3">
      <c r="A229" s="5">
        <f>Prices!A229</f>
        <v>46010</v>
      </c>
      <c r="B229">
        <f>LN(Prices!B230/Prices!B229)</f>
        <v>-1.1018718017243788E-2</v>
      </c>
      <c r="C229">
        <f>LN(Prices!C230/Prices!C229)</f>
        <v>-9.0552543343713453E-3</v>
      </c>
      <c r="D229">
        <f>LN(Prices!D230/Prices!D229)</f>
        <v>-1.1156861221556492E-2</v>
      </c>
    </row>
    <row r="230" spans="1:4" x14ac:dyDescent="0.3">
      <c r="A230" s="5">
        <f>Prices!A230</f>
        <v>46013</v>
      </c>
      <c r="B230">
        <f>LN(Prices!B231/Prices!B230)</f>
        <v>8.312799116122073E-3</v>
      </c>
      <c r="C230">
        <f>LN(Prices!C231/Prices!C230)</f>
        <v>1.0276262798995048E-2</v>
      </c>
      <c r="D230">
        <f>LN(Prices!D231/Prices!D230)</f>
        <v>8.1746559118094936E-3</v>
      </c>
    </row>
    <row r="231" spans="1:4" x14ac:dyDescent="0.3">
      <c r="A231" s="5">
        <f>Prices!A231</f>
        <v>46014</v>
      </c>
      <c r="B231">
        <f>LN(Prices!B232/Prices!B231)</f>
        <v>-1.1227470500688869E-2</v>
      </c>
      <c r="C231">
        <f>LN(Prices!C232/Prices!C231)</f>
        <v>-9.2640068178157578E-3</v>
      </c>
      <c r="D231">
        <f>LN(Prices!D232/Prices!D231)</f>
        <v>-1.1365613705001623E-2</v>
      </c>
    </row>
    <row r="232" spans="1:4" x14ac:dyDescent="0.3">
      <c r="A232" s="5">
        <f>Prices!A232</f>
        <v>46015</v>
      </c>
      <c r="B232">
        <f>LN(Prices!B233/Prices!B232)</f>
        <v>1.8942936786504325E-3</v>
      </c>
      <c r="C232">
        <f>LN(Prices!C233/Prices!C232)</f>
        <v>3.8577573615233268E-3</v>
      </c>
      <c r="D232">
        <f>LN(Prices!D233/Prices!D232)</f>
        <v>1.7561504743376624E-3</v>
      </c>
    </row>
    <row r="233" spans="1:4" x14ac:dyDescent="0.3">
      <c r="A233" s="5">
        <f>Prices!A233</f>
        <v>46016</v>
      </c>
      <c r="B233">
        <f>LN(Prices!B234/Prices!B233)</f>
        <v>-4.7397406518292926E-4</v>
      </c>
      <c r="C233">
        <f>LN(Prices!C234/Prices!C233)</f>
        <v>1.4894896176896398E-3</v>
      </c>
      <c r="D233">
        <f>LN(Prices!D234/Prices!D233)</f>
        <v>-6.1211726949553106E-4</v>
      </c>
    </row>
    <row r="234" spans="1:4" x14ac:dyDescent="0.3">
      <c r="A234" s="5">
        <f>Prices!A234</f>
        <v>46017</v>
      </c>
      <c r="B234">
        <f>LN(Prices!B235/Prices!B234)</f>
        <v>-1.0135872408304184E-2</v>
      </c>
      <c r="C234">
        <f>LN(Prices!C235/Prices!C234)</f>
        <v>-8.1724087254308603E-3</v>
      </c>
      <c r="D234">
        <f>LN(Prices!D235/Prices!D234)</f>
        <v>-1.0274015612617177E-2</v>
      </c>
    </row>
    <row r="235" spans="1:4" x14ac:dyDescent="0.3">
      <c r="A235" s="5">
        <f>Prices!A235</f>
        <v>46020</v>
      </c>
      <c r="B235">
        <f>LN(Prices!B236/Prices!B235)</f>
        <v>2.8606731853908985E-2</v>
      </c>
      <c r="C235">
        <f>LN(Prices!C236/Prices!C235)</f>
        <v>3.0570195536782124E-2</v>
      </c>
      <c r="D235">
        <f>LN(Prices!D236/Prices!D235)</f>
        <v>2.8468588649596796E-2</v>
      </c>
    </row>
    <row r="236" spans="1:4" x14ac:dyDescent="0.3">
      <c r="A236" s="5">
        <f>Prices!A236</f>
        <v>46021</v>
      </c>
      <c r="B236">
        <f>LN(Prices!B237/Prices!B236)</f>
        <v>7.6797514688972564E-3</v>
      </c>
      <c r="C236">
        <f>LN(Prices!C237/Prices!C236)</f>
        <v>9.6432151517703082E-3</v>
      </c>
      <c r="D236">
        <f>LN(Prices!D237/Prices!D236)</f>
        <v>7.5416082645845582E-3</v>
      </c>
    </row>
    <row r="237" spans="1:4" x14ac:dyDescent="0.3">
      <c r="A237" s="5">
        <f>Prices!A237</f>
        <v>46022</v>
      </c>
      <c r="B237">
        <f>LN(Prices!B238/Prices!B237)</f>
        <v>-2.9171378588072321E-2</v>
      </c>
      <c r="C237">
        <f>LN(Prices!C238/Prices!C237)</f>
        <v>-2.7207914905199582E-2</v>
      </c>
      <c r="D237">
        <f>LN(Prices!D238/Prices!D237)</f>
        <v>-2.930952179238492E-2</v>
      </c>
    </row>
    <row r="238" spans="1:4" x14ac:dyDescent="0.3">
      <c r="A238" s="5">
        <f>Prices!A238</f>
        <v>46023</v>
      </c>
      <c r="B238">
        <f>LN(Prices!B239/Prices!B238)</f>
        <v>1.4784735150068548E-3</v>
      </c>
      <c r="C238">
        <f>LN(Prices!C239/Prices!C238)</f>
        <v>3.4419371978804871E-3</v>
      </c>
      <c r="D238">
        <f>LN(Prices!D239/Prices!D238)</f>
        <v>1.3403303106942375E-3</v>
      </c>
    </row>
    <row r="239" spans="1:4" x14ac:dyDescent="0.3">
      <c r="A239" s="5">
        <f>Prices!A239</f>
        <v>46024</v>
      </c>
      <c r="B239">
        <f>LN(Prices!B240/Prices!B239)</f>
        <v>-1.0277038723167589E-2</v>
      </c>
      <c r="C239">
        <f>LN(Prices!C240/Prices!C239)</f>
        <v>-8.3135750402951424E-3</v>
      </c>
      <c r="D239">
        <f>LN(Prices!D240/Prices!D239)</f>
        <v>-1.041518192748022E-2</v>
      </c>
    </row>
    <row r="240" spans="1:4" x14ac:dyDescent="0.3">
      <c r="A240" s="5">
        <f>Prices!A240</f>
        <v>46027</v>
      </c>
      <c r="B240">
        <f>LN(Prices!B241/Prices!B240)</f>
        <v>1.0708075190793195E-2</v>
      </c>
      <c r="C240">
        <f>LN(Prices!C241/Prices!C240)</f>
        <v>1.2671538873667031E-2</v>
      </c>
      <c r="D240">
        <f>LN(Prices!D241/Prices!D240)</f>
        <v>1.0569931986480579E-2</v>
      </c>
    </row>
    <row r="241" spans="1:4" x14ac:dyDescent="0.3">
      <c r="A241" s="5">
        <f>Prices!A241</f>
        <v>46028</v>
      </c>
      <c r="B241">
        <f>LN(Prices!B242/Prices!B241)</f>
        <v>-1.2088845454326343E-2</v>
      </c>
      <c r="C241">
        <f>LN(Prices!C242/Prices!C241)</f>
        <v>-1.0125381771453315E-2</v>
      </c>
      <c r="D241">
        <f>LN(Prices!D242/Prices!D241)</f>
        <v>-1.2226988658638556E-2</v>
      </c>
    </row>
    <row r="242" spans="1:4" x14ac:dyDescent="0.3">
      <c r="A242" s="5">
        <f>Prices!A242</f>
        <v>46029</v>
      </c>
      <c r="B242">
        <f>LN(Prices!B243/Prices!B242)</f>
        <v>-2.6956380183837036E-3</v>
      </c>
      <c r="C242">
        <f>LN(Prices!C243/Prices!C242)</f>
        <v>-7.3217433551091044E-4</v>
      </c>
      <c r="D242">
        <f>LN(Prices!D243/Prices!D242)</f>
        <v>-2.8337812226968428E-3</v>
      </c>
    </row>
    <row r="243" spans="1:4" x14ac:dyDescent="0.3">
      <c r="A243" s="5">
        <f>Prices!A243</f>
        <v>46030</v>
      </c>
      <c r="B243">
        <f>LN(Prices!B244/Prices!B243)</f>
        <v>5.8929254599901938E-3</v>
      </c>
      <c r="C243">
        <f>LN(Prices!C244/Prices!C243)</f>
        <v>7.8563891428634468E-3</v>
      </c>
      <c r="D243">
        <f>LN(Prices!D244/Prices!D243)</f>
        <v>5.7547822556777177E-3</v>
      </c>
    </row>
    <row r="244" spans="1:4" x14ac:dyDescent="0.3">
      <c r="A244" s="5">
        <f>Prices!A244</f>
        <v>46031</v>
      </c>
      <c r="B244">
        <f>LN(Prices!B245/Prices!B244)</f>
        <v>1.0892698807911287E-2</v>
      </c>
      <c r="C244">
        <f>LN(Prices!C245/Prices!C244)</f>
        <v>1.2856162490784072E-2</v>
      </c>
      <c r="D244">
        <f>LN(Prices!D245/Prices!D244)</f>
        <v>1.075455560359837E-2</v>
      </c>
    </row>
    <row r="245" spans="1:4" x14ac:dyDescent="0.3">
      <c r="A245" s="5">
        <f>Prices!A245</f>
        <v>46034</v>
      </c>
      <c r="B245">
        <f>LN(Prices!B246/Prices!B245)</f>
        <v>-1.7740085029886842E-2</v>
      </c>
      <c r="C245">
        <f>LN(Prices!C246/Prices!C245)</f>
        <v>-1.577662134701379E-2</v>
      </c>
      <c r="D245">
        <f>LN(Prices!D246/Prices!D245)</f>
        <v>-1.7878228234199441E-2</v>
      </c>
    </row>
    <row r="246" spans="1:4" x14ac:dyDescent="0.3">
      <c r="A246" s="5">
        <f>Prices!A246</f>
        <v>46035</v>
      </c>
      <c r="B246">
        <f>LN(Prices!B247/Prices!B246)</f>
        <v>-5.7412917904078008E-3</v>
      </c>
      <c r="C246">
        <f>LN(Prices!C247/Prices!C246)</f>
        <v>-3.7778281075351063E-3</v>
      </c>
      <c r="D246">
        <f>LN(Prices!D247/Prices!D246)</f>
        <v>-5.8794349947207608E-3</v>
      </c>
    </row>
    <row r="247" spans="1:4" x14ac:dyDescent="0.3">
      <c r="A247" s="5">
        <f>Prices!A247</f>
        <v>46036</v>
      </c>
      <c r="B247">
        <f>LN(Prices!B248/Prices!B247)</f>
        <v>-7.6876637239799437E-3</v>
      </c>
      <c r="C247">
        <f>LN(Prices!C248/Prices!C247)</f>
        <v>-5.7242000411067201E-3</v>
      </c>
      <c r="D247">
        <f>LN(Prices!D248/Prices!D247)</f>
        <v>-7.8258069282924354E-3</v>
      </c>
    </row>
    <row r="248" spans="1:4" x14ac:dyDescent="0.3">
      <c r="A248" s="5">
        <f>Prices!A248</f>
        <v>46037</v>
      </c>
      <c r="B248">
        <f>LN(Prices!B249/Prices!B248)</f>
        <v>-1.0159832501816384E-2</v>
      </c>
      <c r="C248">
        <f>LN(Prices!C249/Prices!C248)</f>
        <v>-8.1963688189433514E-3</v>
      </c>
      <c r="D248">
        <f>LN(Prices!D249/Prices!D248)</f>
        <v>-1.0297975706129373E-2</v>
      </c>
    </row>
    <row r="249" spans="1:4" x14ac:dyDescent="0.3">
      <c r="A249" s="5">
        <f>Prices!A249</f>
        <v>46038</v>
      </c>
      <c r="B249">
        <f>LN(Prices!B250/Prices!B249)</f>
        <v>2.3361355588353117E-2</v>
      </c>
      <c r="C249">
        <f>LN(Prices!C250/Prices!C249)</f>
        <v>2.5324819271226342E-2</v>
      </c>
      <c r="D249">
        <f>LN(Prices!D250/Prices!D249)</f>
        <v>2.3223212384040709E-2</v>
      </c>
    </row>
    <row r="250" spans="1:4" x14ac:dyDescent="0.3">
      <c r="A250" s="5">
        <f>Prices!A250</f>
        <v>46041</v>
      </c>
      <c r="B250">
        <f>LN(Prices!B251/Prices!B250)</f>
        <v>4.5069785601260402E-3</v>
      </c>
      <c r="C250">
        <f>LN(Prices!C251/Prices!C250)</f>
        <v>6.4704422429994199E-3</v>
      </c>
      <c r="D250">
        <f>LN(Prices!D251/Prices!D250)</f>
        <v>4.368835355813604E-3</v>
      </c>
    </row>
    <row r="251" spans="1:4" x14ac:dyDescent="0.3">
      <c r="A251" s="5">
        <f>Prices!A251</f>
        <v>46042</v>
      </c>
      <c r="B251">
        <f>LN(Prices!B252/Prices!B251)</f>
        <v>-1.8579749510425615E-2</v>
      </c>
      <c r="C251">
        <f>LN(Prices!C252/Prices!C251)</f>
        <v>-1.6616285827552871E-2</v>
      </c>
      <c r="D251">
        <f>LN(Prices!D252/Prices!D251)</f>
        <v>-1.8717892714738452E-2</v>
      </c>
    </row>
    <row r="252" spans="1:4" x14ac:dyDescent="0.3">
      <c r="A252" s="5">
        <f>Prices!A252</f>
        <v>46043</v>
      </c>
      <c r="B252">
        <f>LN(Prices!B253/Prices!B252)</f>
        <v>1.1614830525701225E-2</v>
      </c>
      <c r="C252">
        <f>LN(Prices!C253/Prices!C252)</f>
        <v>1.3578294208574173E-2</v>
      </c>
      <c r="D252">
        <f>LN(Prices!D253/Prices!D252)</f>
        <v>1.1476687321388618E-2</v>
      </c>
    </row>
    <row r="253" spans="1:4" x14ac:dyDescent="0.3">
      <c r="A253" s="5">
        <f>Prices!A253</f>
        <v>46044</v>
      </c>
      <c r="B253">
        <f>LN(3162.5/Prices!B253)</f>
        <v>5.5120037034263103E-2</v>
      </c>
      <c r="C253">
        <f>LN(258.7/Prices!C253)</f>
        <v>-0.10346463379533562</v>
      </c>
      <c r="D253">
        <f>LN(316.76/Prices!D253)</f>
        <v>2.1088337923085159E-2</v>
      </c>
    </row>
    <row r="254" spans="1:4" x14ac:dyDescent="0.3">
      <c r="A25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68BB-1E3D-4409-815C-A1873A10F0DE}">
  <dimension ref="A1:D4"/>
  <sheetViews>
    <sheetView zoomScale="183" workbookViewId="0">
      <selection activeCell="C5" sqref="C5"/>
    </sheetView>
  </sheetViews>
  <sheetFormatPr defaultRowHeight="14.4" x14ac:dyDescent="0.3"/>
  <sheetData>
    <row r="1" spans="1:4" x14ac:dyDescent="0.3">
      <c r="B1" t="s">
        <v>0</v>
      </c>
      <c r="C1" t="s">
        <v>9</v>
      </c>
      <c r="D1" t="s">
        <v>10</v>
      </c>
    </row>
    <row r="2" spans="1:4" x14ac:dyDescent="0.3">
      <c r="A2" t="s">
        <v>0</v>
      </c>
      <c r="B2">
        <v>1</v>
      </c>
      <c r="C2">
        <f>CORREL(Returns!B:B,Returns!C:C)</f>
        <v>0.75538652765307213</v>
      </c>
      <c r="D2">
        <f>CORREL(Returns!B:B,Returns!D:D)</f>
        <v>0.98819321808668836</v>
      </c>
    </row>
    <row r="3" spans="1:4" x14ac:dyDescent="0.3">
      <c r="A3" t="s">
        <v>9</v>
      </c>
      <c r="B3">
        <f>CORREL(Returns!C:C,Returns!B:B)</f>
        <v>0.75538652765307213</v>
      </c>
      <c r="C3">
        <v>1</v>
      </c>
      <c r="D3">
        <f>CORREL(Returns!C:C,Returns!D:D)</f>
        <v>0.84686505073024765</v>
      </c>
    </row>
    <row r="4" spans="1:4" x14ac:dyDescent="0.3">
      <c r="A4" t="s">
        <v>10</v>
      </c>
      <c r="B4">
        <f>CORREL(Returns!D:D,Returns!B:B)</f>
        <v>0.98819321808668836</v>
      </c>
      <c r="C4">
        <f>CORREL(Returns!D:D,Returns!C:C)</f>
        <v>0.84686505073024765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</vt:lpstr>
      <vt:lpstr>Returns</vt:lpstr>
      <vt:lpstr>Correlation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vijan</dc:creator>
  <cp:lastModifiedBy>tarun vijan</cp:lastModifiedBy>
  <dcterms:created xsi:type="dcterms:W3CDTF">2026-02-04T19:30:13Z</dcterms:created>
  <dcterms:modified xsi:type="dcterms:W3CDTF">2026-02-05T13:53:05Z</dcterms:modified>
</cp:coreProperties>
</file>